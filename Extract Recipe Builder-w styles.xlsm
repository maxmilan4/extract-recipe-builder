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yel\Documents\Max\Beer\"/>
    </mc:Choice>
  </mc:AlternateContent>
  <xr:revisionPtr revIDLastSave="0" documentId="13_ncr:1_{B331BCFC-1811-4A9C-A24F-F11B82A39099}" xr6:coauthVersionLast="40" xr6:coauthVersionMax="40" xr10:uidLastSave="{00000000-0000-0000-0000-000000000000}"/>
  <bookViews>
    <workbookView xWindow="-120" yWindow="-120" windowWidth="20730" windowHeight="11160" xr2:uid="{3F0C54F2-2438-47B9-A95B-1BCDA92CC7EA}"/>
  </bookViews>
  <sheets>
    <sheet name="Extract Recipe Builder" sheetId="3" r:id="rId1"/>
    <sheet name="Beer Style Information" sheetId="10" r:id="rId2"/>
    <sheet name="All-Grain to Extract" sheetId="9" r:id="rId3"/>
    <sheet name="CO2" sheetId="8" r:id="rId4"/>
    <sheet name="Fermentables &amp; Specialty Grain" sheetId="4" r:id="rId5"/>
    <sheet name="Hop Utilization" sheetId="5" r:id="rId6"/>
    <sheet name="Yeast" sheetId="6" r:id="rId7"/>
    <sheet name="Color" sheetId="7" r:id="rId8"/>
  </sheets>
  <functionGroups builtInGroupCount="19"/>
  <definedNames>
    <definedName name="_39" localSheetId="1">'Beer Style Information'!#REF!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3" i="10" l="1"/>
  <c r="AD3" i="10"/>
  <c r="AC4" i="10"/>
  <c r="AD4" i="10"/>
  <c r="AC5" i="10"/>
  <c r="AD5" i="10"/>
  <c r="AC6" i="10"/>
  <c r="AD6" i="10"/>
  <c r="AC7" i="10"/>
  <c r="AD7" i="10"/>
  <c r="AC8" i="10"/>
  <c r="AD8" i="10"/>
  <c r="AC9" i="10"/>
  <c r="AD9" i="10"/>
  <c r="AC10" i="10"/>
  <c r="AD10" i="10"/>
  <c r="AC11" i="10"/>
  <c r="AD11" i="10"/>
  <c r="AC12" i="10"/>
  <c r="AD12" i="10"/>
  <c r="AC13" i="10"/>
  <c r="AD13" i="10"/>
  <c r="AC14" i="10"/>
  <c r="AD14" i="10"/>
  <c r="AC15" i="10"/>
  <c r="AD15" i="10"/>
  <c r="AC16" i="10"/>
  <c r="AD16" i="10"/>
  <c r="AC17" i="10"/>
  <c r="AD17" i="10"/>
  <c r="AC18" i="10"/>
  <c r="AD18" i="10"/>
  <c r="AC19" i="10"/>
  <c r="AD19" i="10"/>
  <c r="AC20" i="10"/>
  <c r="AD20" i="10"/>
  <c r="AC21" i="10"/>
  <c r="AD21" i="10"/>
  <c r="AC22" i="10"/>
  <c r="AD22" i="10"/>
  <c r="AC23" i="10"/>
  <c r="AD23" i="10"/>
  <c r="AC24" i="10"/>
  <c r="AD24" i="10"/>
  <c r="AC25" i="10"/>
  <c r="AD25" i="10"/>
  <c r="AC26" i="10"/>
  <c r="AD26" i="10"/>
  <c r="AC27" i="10"/>
  <c r="AD27" i="10"/>
  <c r="AC28" i="10"/>
  <c r="AD28" i="10"/>
  <c r="AC29" i="10"/>
  <c r="AD29" i="10"/>
  <c r="AC30" i="10"/>
  <c r="AD30" i="10"/>
  <c r="AC31" i="10"/>
  <c r="AD31" i="10"/>
  <c r="AC32" i="10"/>
  <c r="AD32" i="10"/>
  <c r="AC33" i="10"/>
  <c r="AD33" i="10"/>
  <c r="AC34" i="10"/>
  <c r="AD34" i="10"/>
  <c r="AC35" i="10"/>
  <c r="AD35" i="10"/>
  <c r="AC36" i="10"/>
  <c r="AD36" i="10"/>
  <c r="AC37" i="10"/>
  <c r="AD37" i="10"/>
  <c r="AC38" i="10"/>
  <c r="AD38" i="10"/>
  <c r="AC39" i="10"/>
  <c r="AD39" i="10"/>
  <c r="AC40" i="10"/>
  <c r="AD40" i="10"/>
  <c r="AC41" i="10"/>
  <c r="AD41" i="10"/>
  <c r="AC42" i="10"/>
  <c r="AD42" i="10"/>
  <c r="AC43" i="10"/>
  <c r="AD43" i="10"/>
  <c r="AC44" i="10"/>
  <c r="AD44" i="10"/>
  <c r="AC45" i="10"/>
  <c r="AD45" i="10"/>
  <c r="AC46" i="10"/>
  <c r="AD46" i="10"/>
  <c r="AC47" i="10"/>
  <c r="AD47" i="10"/>
  <c r="AC48" i="10"/>
  <c r="AD48" i="10"/>
  <c r="AC49" i="10"/>
  <c r="AD49" i="10"/>
  <c r="AC50" i="10"/>
  <c r="AD50" i="10"/>
  <c r="AC51" i="10"/>
  <c r="AD51" i="10"/>
  <c r="AC52" i="10"/>
  <c r="AD52" i="10"/>
  <c r="AC53" i="10"/>
  <c r="AD53" i="10"/>
  <c r="AC54" i="10"/>
  <c r="AD54" i="10"/>
  <c r="AC55" i="10"/>
  <c r="AD55" i="10"/>
  <c r="AC56" i="10"/>
  <c r="AD56" i="10"/>
  <c r="AC57" i="10"/>
  <c r="AD57" i="10"/>
  <c r="AC58" i="10"/>
  <c r="AD58" i="10"/>
  <c r="AC59" i="10"/>
  <c r="AD59" i="10"/>
  <c r="AC60" i="10"/>
  <c r="AD60" i="10"/>
  <c r="AC61" i="10"/>
  <c r="AD61" i="10"/>
  <c r="AC62" i="10"/>
  <c r="AD62" i="10"/>
  <c r="AC63" i="10"/>
  <c r="AD63" i="10"/>
  <c r="AC64" i="10"/>
  <c r="AD64" i="10"/>
  <c r="AC65" i="10"/>
  <c r="AD65" i="10"/>
  <c r="AC66" i="10"/>
  <c r="AD66" i="10"/>
  <c r="AC67" i="10"/>
  <c r="AD67" i="10"/>
  <c r="AC68" i="10"/>
  <c r="AD68" i="10"/>
  <c r="AC69" i="10"/>
  <c r="AD69" i="10"/>
  <c r="AC70" i="10"/>
  <c r="AD70" i="10"/>
  <c r="AC71" i="10"/>
  <c r="AD71" i="10"/>
  <c r="AC72" i="10"/>
  <c r="AD72" i="10"/>
  <c r="AC73" i="10"/>
  <c r="AD73" i="10"/>
  <c r="AC74" i="10"/>
  <c r="AD74" i="10"/>
  <c r="AC75" i="10"/>
  <c r="AD75" i="10"/>
  <c r="AC76" i="10"/>
  <c r="AD76" i="10"/>
  <c r="AC77" i="10"/>
  <c r="AD77" i="10"/>
  <c r="AC78" i="10"/>
  <c r="AD78" i="10"/>
  <c r="AC79" i="10"/>
  <c r="AD79" i="10"/>
  <c r="AC80" i="10"/>
  <c r="AD80" i="10"/>
  <c r="AC81" i="10"/>
  <c r="AD81" i="10"/>
  <c r="AC82" i="10"/>
  <c r="AD82" i="10"/>
  <c r="AC83" i="10"/>
  <c r="AD83" i="10"/>
  <c r="AC84" i="10"/>
  <c r="AD84" i="10"/>
  <c r="AC85" i="10"/>
  <c r="AD85" i="10"/>
  <c r="AC86" i="10"/>
  <c r="AD86" i="10"/>
  <c r="AC87" i="10"/>
  <c r="AD87" i="10"/>
  <c r="AC88" i="10"/>
  <c r="AD88" i="10"/>
  <c r="AC89" i="10"/>
  <c r="AD89" i="10"/>
  <c r="AC90" i="10"/>
  <c r="AD90" i="10"/>
  <c r="AC91" i="10"/>
  <c r="AD91" i="10"/>
  <c r="AC92" i="10"/>
  <c r="AD92" i="10"/>
  <c r="AC93" i="10"/>
  <c r="AD93" i="10"/>
  <c r="AC94" i="10"/>
  <c r="AD94" i="10"/>
  <c r="AC95" i="10"/>
  <c r="AD95" i="10"/>
  <c r="AC96" i="10"/>
  <c r="AD96" i="10"/>
  <c r="AC97" i="10"/>
  <c r="AD97" i="10"/>
  <c r="AC98" i="10"/>
  <c r="AD98" i="10"/>
  <c r="AC99" i="10"/>
  <c r="AD99" i="10"/>
  <c r="AC100" i="10"/>
  <c r="AD100" i="10"/>
  <c r="AC101" i="10"/>
  <c r="AD101" i="10"/>
  <c r="AC102" i="10"/>
  <c r="AD102" i="10"/>
  <c r="AD2" i="10"/>
  <c r="AC2" i="10"/>
  <c r="G79" i="3"/>
  <c r="H84" i="3"/>
  <c r="G84" i="3"/>
  <c r="H83" i="3"/>
  <c r="G83" i="3"/>
  <c r="H82" i="3"/>
  <c r="G82" i="3"/>
  <c r="H81" i="3"/>
  <c r="G81" i="3"/>
  <c r="H80" i="3"/>
  <c r="G80" i="3"/>
  <c r="X2" i="10"/>
  <c r="X3" i="10"/>
  <c r="X4" i="10"/>
  <c r="X5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W2" i="10"/>
  <c r="W3" i="10"/>
  <c r="W4" i="10"/>
  <c r="W5" i="10"/>
  <c r="W6" i="10"/>
  <c r="W7" i="10"/>
  <c r="W8" i="10"/>
  <c r="W9" i="10"/>
  <c r="W10" i="10"/>
  <c r="W11" i="10"/>
  <c r="W12" i="10"/>
  <c r="W13" i="10"/>
  <c r="W14" i="10"/>
  <c r="W15" i="10"/>
  <c r="W16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W33" i="10"/>
  <c r="W34" i="10"/>
  <c r="W35" i="10"/>
  <c r="W36" i="10"/>
  <c r="W37" i="10"/>
  <c r="W38" i="10"/>
  <c r="W39" i="10"/>
  <c r="W40" i="10"/>
  <c r="W41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W54" i="10"/>
  <c r="W55" i="10"/>
  <c r="W56" i="10"/>
  <c r="W57" i="10"/>
  <c r="W58" i="10"/>
  <c r="W59" i="10"/>
  <c r="W60" i="10"/>
  <c r="W61" i="10"/>
  <c r="W62" i="10"/>
  <c r="W63" i="10"/>
  <c r="W64" i="10"/>
  <c r="W65" i="10"/>
  <c r="W66" i="10"/>
  <c r="W67" i="10"/>
  <c r="W68" i="10"/>
  <c r="W69" i="10"/>
  <c r="W70" i="10"/>
  <c r="W71" i="10"/>
  <c r="W72" i="10"/>
  <c r="W73" i="10"/>
  <c r="W74" i="10"/>
  <c r="W75" i="10"/>
  <c r="W76" i="10"/>
  <c r="W77" i="10"/>
  <c r="W78" i="10"/>
  <c r="W79" i="10"/>
  <c r="W80" i="10"/>
  <c r="W81" i="10"/>
  <c r="W82" i="10"/>
  <c r="W83" i="10"/>
  <c r="W84" i="10"/>
  <c r="W85" i="10"/>
  <c r="W86" i="10"/>
  <c r="W87" i="10"/>
  <c r="W88" i="10"/>
  <c r="W89" i="10"/>
  <c r="W90" i="10"/>
  <c r="W91" i="10"/>
  <c r="W92" i="10"/>
  <c r="W93" i="10"/>
  <c r="W94" i="10"/>
  <c r="W95" i="10"/>
  <c r="W96" i="10"/>
  <c r="W97" i="10"/>
  <c r="W98" i="10"/>
  <c r="W99" i="10"/>
  <c r="W100" i="10"/>
  <c r="W101" i="10"/>
  <c r="W102" i="10"/>
  <c r="H79" i="3"/>
  <c r="R2" i="10"/>
  <c r="R3" i="10"/>
  <c r="R4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Q2" i="10"/>
  <c r="S2" i="10"/>
  <c r="T2" i="10"/>
  <c r="U2" i="10"/>
  <c r="U102" i="10"/>
  <c r="T102" i="10"/>
  <c r="S102" i="10"/>
  <c r="Q102" i="10"/>
  <c r="U101" i="10"/>
  <c r="T101" i="10"/>
  <c r="S101" i="10"/>
  <c r="Q101" i="10"/>
  <c r="U100" i="10"/>
  <c r="T100" i="10"/>
  <c r="S100" i="10"/>
  <c r="Q100" i="10"/>
  <c r="U99" i="10"/>
  <c r="T99" i="10"/>
  <c r="S99" i="10"/>
  <c r="Q99" i="10"/>
  <c r="U98" i="10"/>
  <c r="T98" i="10"/>
  <c r="S98" i="10"/>
  <c r="Q98" i="10"/>
  <c r="U97" i="10"/>
  <c r="T97" i="10"/>
  <c r="S97" i="10"/>
  <c r="Q97" i="10"/>
  <c r="U96" i="10"/>
  <c r="T96" i="10"/>
  <c r="S96" i="10"/>
  <c r="Q96" i="10"/>
  <c r="U95" i="10"/>
  <c r="T95" i="10"/>
  <c r="S95" i="10"/>
  <c r="Q95" i="10"/>
  <c r="U94" i="10"/>
  <c r="T94" i="10"/>
  <c r="S94" i="10"/>
  <c r="Q94" i="10"/>
  <c r="U93" i="10"/>
  <c r="T93" i="10"/>
  <c r="S93" i="10"/>
  <c r="Q93" i="10"/>
  <c r="U92" i="10"/>
  <c r="T92" i="10"/>
  <c r="S92" i="10"/>
  <c r="Q92" i="10"/>
  <c r="U91" i="10"/>
  <c r="T91" i="10"/>
  <c r="S91" i="10"/>
  <c r="Q91" i="10"/>
  <c r="U90" i="10"/>
  <c r="T90" i="10"/>
  <c r="S90" i="10"/>
  <c r="Q90" i="10"/>
  <c r="U89" i="10"/>
  <c r="T89" i="10"/>
  <c r="S89" i="10"/>
  <c r="Q89" i="10"/>
  <c r="U88" i="10"/>
  <c r="T88" i="10"/>
  <c r="S88" i="10"/>
  <c r="Q88" i="10"/>
  <c r="U87" i="10"/>
  <c r="T87" i="10"/>
  <c r="S87" i="10"/>
  <c r="Q87" i="10"/>
  <c r="U86" i="10"/>
  <c r="T86" i="10"/>
  <c r="S86" i="10"/>
  <c r="Q86" i="10"/>
  <c r="U85" i="10"/>
  <c r="T85" i="10"/>
  <c r="S85" i="10"/>
  <c r="Q85" i="10"/>
  <c r="U84" i="10"/>
  <c r="T84" i="10"/>
  <c r="S84" i="10"/>
  <c r="Q84" i="10"/>
  <c r="U83" i="10"/>
  <c r="T83" i="10"/>
  <c r="S83" i="10"/>
  <c r="Q83" i="10"/>
  <c r="U82" i="10"/>
  <c r="T82" i="10"/>
  <c r="S82" i="10"/>
  <c r="Q82" i="10"/>
  <c r="U81" i="10"/>
  <c r="T81" i="10"/>
  <c r="S81" i="10"/>
  <c r="Q81" i="10"/>
  <c r="U80" i="10"/>
  <c r="T80" i="10"/>
  <c r="S80" i="10"/>
  <c r="Q80" i="10"/>
  <c r="U79" i="10"/>
  <c r="T79" i="10"/>
  <c r="S79" i="10"/>
  <c r="Q79" i="10"/>
  <c r="U78" i="10"/>
  <c r="T78" i="10"/>
  <c r="S78" i="10"/>
  <c r="Q78" i="10"/>
  <c r="U77" i="10"/>
  <c r="T77" i="10"/>
  <c r="S77" i="10"/>
  <c r="Q77" i="10"/>
  <c r="U76" i="10"/>
  <c r="T76" i="10"/>
  <c r="S76" i="10"/>
  <c r="Q76" i="10"/>
  <c r="U75" i="10"/>
  <c r="T75" i="10"/>
  <c r="S75" i="10"/>
  <c r="Q75" i="10"/>
  <c r="U74" i="10"/>
  <c r="T74" i="10"/>
  <c r="S74" i="10"/>
  <c r="Q74" i="10"/>
  <c r="U73" i="10"/>
  <c r="T73" i="10"/>
  <c r="S73" i="10"/>
  <c r="Q73" i="10"/>
  <c r="U72" i="10"/>
  <c r="T72" i="10"/>
  <c r="S72" i="10"/>
  <c r="Q72" i="10"/>
  <c r="U71" i="10"/>
  <c r="T71" i="10"/>
  <c r="S71" i="10"/>
  <c r="Q71" i="10"/>
  <c r="U70" i="10"/>
  <c r="T70" i="10"/>
  <c r="S70" i="10"/>
  <c r="Q70" i="10"/>
  <c r="U69" i="10"/>
  <c r="T69" i="10"/>
  <c r="S69" i="10"/>
  <c r="Q69" i="10"/>
  <c r="U68" i="10"/>
  <c r="T68" i="10"/>
  <c r="S68" i="10"/>
  <c r="Q68" i="10"/>
  <c r="U67" i="10"/>
  <c r="T67" i="10"/>
  <c r="S67" i="10"/>
  <c r="Q67" i="10"/>
  <c r="U66" i="10"/>
  <c r="T66" i="10"/>
  <c r="S66" i="10"/>
  <c r="Q66" i="10"/>
  <c r="U65" i="10"/>
  <c r="T65" i="10"/>
  <c r="S65" i="10"/>
  <c r="Q65" i="10"/>
  <c r="U64" i="10"/>
  <c r="T64" i="10"/>
  <c r="S64" i="10"/>
  <c r="Q64" i="10"/>
  <c r="U63" i="10"/>
  <c r="T63" i="10"/>
  <c r="S63" i="10"/>
  <c r="Q63" i="10"/>
  <c r="U62" i="10"/>
  <c r="T62" i="10"/>
  <c r="S62" i="10"/>
  <c r="Q62" i="10"/>
  <c r="U61" i="10"/>
  <c r="T61" i="10"/>
  <c r="S61" i="10"/>
  <c r="Q61" i="10"/>
  <c r="U60" i="10"/>
  <c r="T60" i="10"/>
  <c r="S60" i="10"/>
  <c r="Q60" i="10"/>
  <c r="U59" i="10"/>
  <c r="T59" i="10"/>
  <c r="S59" i="10"/>
  <c r="Q59" i="10"/>
  <c r="U58" i="10"/>
  <c r="T58" i="10"/>
  <c r="S58" i="10"/>
  <c r="Q58" i="10"/>
  <c r="U57" i="10"/>
  <c r="T57" i="10"/>
  <c r="S57" i="10"/>
  <c r="Q57" i="10"/>
  <c r="U56" i="10"/>
  <c r="T56" i="10"/>
  <c r="S56" i="10"/>
  <c r="Q56" i="10"/>
  <c r="U55" i="10"/>
  <c r="T55" i="10"/>
  <c r="S55" i="10"/>
  <c r="Q55" i="10"/>
  <c r="U54" i="10"/>
  <c r="T54" i="10"/>
  <c r="S54" i="10"/>
  <c r="Q54" i="10"/>
  <c r="U53" i="10"/>
  <c r="T53" i="10"/>
  <c r="S53" i="10"/>
  <c r="Q53" i="10"/>
  <c r="U52" i="10"/>
  <c r="T52" i="10"/>
  <c r="S52" i="10"/>
  <c r="Q52" i="10"/>
  <c r="U51" i="10"/>
  <c r="T51" i="10"/>
  <c r="S51" i="10"/>
  <c r="Q51" i="10"/>
  <c r="U50" i="10"/>
  <c r="T50" i="10"/>
  <c r="S50" i="10"/>
  <c r="Q50" i="10"/>
  <c r="U49" i="10"/>
  <c r="T49" i="10"/>
  <c r="S49" i="10"/>
  <c r="Q49" i="10"/>
  <c r="U48" i="10"/>
  <c r="T48" i="10"/>
  <c r="S48" i="10"/>
  <c r="Q48" i="10"/>
  <c r="U47" i="10"/>
  <c r="T47" i="10"/>
  <c r="S47" i="10"/>
  <c r="Q47" i="10"/>
  <c r="U46" i="10"/>
  <c r="T46" i="10"/>
  <c r="S46" i="10"/>
  <c r="Q46" i="10"/>
  <c r="U45" i="10"/>
  <c r="T45" i="10"/>
  <c r="S45" i="10"/>
  <c r="Q45" i="10"/>
  <c r="U44" i="10"/>
  <c r="T44" i="10"/>
  <c r="S44" i="10"/>
  <c r="Q44" i="10"/>
  <c r="U43" i="10"/>
  <c r="T43" i="10"/>
  <c r="S43" i="10"/>
  <c r="Q43" i="10"/>
  <c r="U42" i="10"/>
  <c r="T42" i="10"/>
  <c r="S42" i="10"/>
  <c r="Q42" i="10"/>
  <c r="U41" i="10"/>
  <c r="T41" i="10"/>
  <c r="S41" i="10"/>
  <c r="Q41" i="10"/>
  <c r="U40" i="10"/>
  <c r="T40" i="10"/>
  <c r="S40" i="10"/>
  <c r="Q40" i="10"/>
  <c r="U39" i="10"/>
  <c r="T39" i="10"/>
  <c r="S39" i="10"/>
  <c r="Q39" i="10"/>
  <c r="U38" i="10"/>
  <c r="T38" i="10"/>
  <c r="S38" i="10"/>
  <c r="Q38" i="10"/>
  <c r="U37" i="10"/>
  <c r="T37" i="10"/>
  <c r="S37" i="10"/>
  <c r="Q37" i="10"/>
  <c r="U36" i="10"/>
  <c r="T36" i="10"/>
  <c r="S36" i="10"/>
  <c r="Q36" i="10"/>
  <c r="U35" i="10"/>
  <c r="T35" i="10"/>
  <c r="S35" i="10"/>
  <c r="Q35" i="10"/>
  <c r="U34" i="10"/>
  <c r="T34" i="10"/>
  <c r="S34" i="10"/>
  <c r="Q34" i="10"/>
  <c r="U33" i="10"/>
  <c r="T33" i="10"/>
  <c r="S33" i="10"/>
  <c r="Q33" i="10"/>
  <c r="U32" i="10"/>
  <c r="T32" i="10"/>
  <c r="S32" i="10"/>
  <c r="Q32" i="10"/>
  <c r="U31" i="10"/>
  <c r="T31" i="10"/>
  <c r="S31" i="10"/>
  <c r="Q31" i="10"/>
  <c r="U30" i="10"/>
  <c r="T30" i="10"/>
  <c r="S30" i="10"/>
  <c r="Q30" i="10"/>
  <c r="U29" i="10"/>
  <c r="T29" i="10"/>
  <c r="S29" i="10"/>
  <c r="Q29" i="10"/>
  <c r="U28" i="10"/>
  <c r="T28" i="10"/>
  <c r="S28" i="10"/>
  <c r="Q28" i="10"/>
  <c r="U27" i="10"/>
  <c r="T27" i="10"/>
  <c r="S27" i="10"/>
  <c r="Q27" i="10"/>
  <c r="U26" i="10"/>
  <c r="T26" i="10"/>
  <c r="S26" i="10"/>
  <c r="Q26" i="10"/>
  <c r="U25" i="10"/>
  <c r="T25" i="10"/>
  <c r="S25" i="10"/>
  <c r="Q25" i="10"/>
  <c r="U24" i="10"/>
  <c r="T24" i="10"/>
  <c r="S24" i="10"/>
  <c r="Q24" i="10"/>
  <c r="U23" i="10"/>
  <c r="T23" i="10"/>
  <c r="S23" i="10"/>
  <c r="Q23" i="10"/>
  <c r="U22" i="10"/>
  <c r="T22" i="10"/>
  <c r="S22" i="10"/>
  <c r="Q22" i="10"/>
  <c r="U21" i="10"/>
  <c r="T21" i="10"/>
  <c r="S21" i="10"/>
  <c r="Q21" i="10"/>
  <c r="U20" i="10"/>
  <c r="T20" i="10"/>
  <c r="S20" i="10"/>
  <c r="Q20" i="10"/>
  <c r="U19" i="10"/>
  <c r="T19" i="10"/>
  <c r="S19" i="10"/>
  <c r="Q19" i="10"/>
  <c r="U18" i="10"/>
  <c r="T18" i="10"/>
  <c r="S18" i="10"/>
  <c r="Q18" i="10"/>
  <c r="U17" i="10"/>
  <c r="T17" i="10"/>
  <c r="S17" i="10"/>
  <c r="Q17" i="10"/>
  <c r="U16" i="10"/>
  <c r="T16" i="10"/>
  <c r="S16" i="10"/>
  <c r="Q16" i="10"/>
  <c r="U15" i="10"/>
  <c r="T15" i="10"/>
  <c r="S15" i="10"/>
  <c r="Q15" i="10"/>
  <c r="U14" i="10"/>
  <c r="T14" i="10"/>
  <c r="S14" i="10"/>
  <c r="Q14" i="10"/>
  <c r="U13" i="10"/>
  <c r="T13" i="10"/>
  <c r="S13" i="10"/>
  <c r="Q13" i="10"/>
  <c r="U12" i="10"/>
  <c r="T12" i="10"/>
  <c r="S12" i="10"/>
  <c r="Q12" i="10"/>
  <c r="U11" i="10"/>
  <c r="T11" i="10"/>
  <c r="S11" i="10"/>
  <c r="Q11" i="10"/>
  <c r="U10" i="10"/>
  <c r="T10" i="10"/>
  <c r="S10" i="10"/>
  <c r="Q10" i="10"/>
  <c r="U9" i="10"/>
  <c r="T9" i="10"/>
  <c r="S9" i="10"/>
  <c r="Q9" i="10"/>
  <c r="U8" i="10"/>
  <c r="T8" i="10"/>
  <c r="S8" i="10"/>
  <c r="Q8" i="10"/>
  <c r="U7" i="10"/>
  <c r="T7" i="10"/>
  <c r="S7" i="10"/>
  <c r="Q7" i="10"/>
  <c r="U6" i="10"/>
  <c r="T6" i="10"/>
  <c r="S6" i="10"/>
  <c r="Q6" i="10"/>
  <c r="U5" i="10"/>
  <c r="D4" i="3" s="1"/>
  <c r="T5" i="10"/>
  <c r="D6" i="3" s="1"/>
  <c r="S5" i="10"/>
  <c r="D3" i="3" s="1"/>
  <c r="Q5" i="10"/>
  <c r="D5" i="3" s="1"/>
  <c r="U4" i="10"/>
  <c r="T4" i="10"/>
  <c r="S4" i="10"/>
  <c r="Q4" i="10"/>
  <c r="U3" i="10"/>
  <c r="T3" i="10"/>
  <c r="S3" i="10"/>
  <c r="Q3" i="10"/>
  <c r="D7" i="3" l="1"/>
  <c r="V3" i="10"/>
  <c r="V4" i="10"/>
  <c r="V7" i="10"/>
  <c r="V8" i="10"/>
  <c r="V11" i="10"/>
  <c r="V12" i="10"/>
  <c r="V15" i="10"/>
  <c r="V16" i="10"/>
  <c r="V19" i="10"/>
  <c r="V20" i="10"/>
  <c r="V24" i="10"/>
  <c r="V28" i="10"/>
  <c r="V31" i="10"/>
  <c r="V32" i="10"/>
  <c r="V35" i="10"/>
  <c r="V36" i="10"/>
  <c r="V39" i="10"/>
  <c r="V40" i="10"/>
  <c r="V43" i="10"/>
  <c r="V44" i="10"/>
  <c r="V47" i="10"/>
  <c r="V48" i="10"/>
  <c r="V51" i="10"/>
  <c r="V52" i="10"/>
  <c r="V55" i="10"/>
  <c r="V56" i="10"/>
  <c r="V59" i="10"/>
  <c r="V60" i="10"/>
  <c r="V63" i="10"/>
  <c r="V64" i="10"/>
  <c r="V67" i="10"/>
  <c r="V68" i="10"/>
  <c r="V71" i="10"/>
  <c r="V72" i="10"/>
  <c r="V75" i="10"/>
  <c r="V76" i="10"/>
  <c r="V79" i="10"/>
  <c r="V80" i="10"/>
  <c r="V83" i="10"/>
  <c r="V84" i="10"/>
  <c r="V87" i="10"/>
  <c r="V88" i="10"/>
  <c r="V91" i="10"/>
  <c r="V92" i="10"/>
  <c r="V95" i="10"/>
  <c r="V96" i="10"/>
  <c r="V99" i="10"/>
  <c r="V100" i="10"/>
  <c r="V21" i="10"/>
  <c r="V25" i="10"/>
  <c r="V41" i="10"/>
  <c r="V45" i="10"/>
  <c r="V2" i="10"/>
  <c r="V13" i="10"/>
  <c r="V29" i="10"/>
  <c r="V49" i="10"/>
  <c r="V53" i="10"/>
  <c r="V57" i="10"/>
  <c r="V61" i="10"/>
  <c r="V65" i="10"/>
  <c r="V69" i="10"/>
  <c r="V73" i="10"/>
  <c r="V77" i="10"/>
  <c r="V81" i="10"/>
  <c r="V85" i="10"/>
  <c r="V89" i="10"/>
  <c r="V93" i="10"/>
  <c r="V97" i="10"/>
  <c r="V5" i="10"/>
  <c r="D8" i="3" s="1"/>
  <c r="V9" i="10"/>
  <c r="V17" i="10"/>
  <c r="V23" i="10"/>
  <c r="V27" i="10"/>
  <c r="V33" i="10"/>
  <c r="V37" i="10"/>
  <c r="V6" i="10"/>
  <c r="V10" i="10"/>
  <c r="V14" i="10"/>
  <c r="V18" i="10"/>
  <c r="V22" i="10"/>
  <c r="V26" i="10"/>
  <c r="V30" i="10"/>
  <c r="V34" i="10"/>
  <c r="V38" i="10"/>
  <c r="V42" i="10"/>
  <c r="V46" i="10"/>
  <c r="V50" i="10"/>
  <c r="V54" i="10"/>
  <c r="V58" i="10"/>
  <c r="V62" i="10"/>
  <c r="V66" i="10"/>
  <c r="V70" i="10"/>
  <c r="V74" i="10"/>
  <c r="V78" i="10"/>
  <c r="V82" i="10"/>
  <c r="V86" i="10"/>
  <c r="V90" i="10"/>
  <c r="V94" i="10"/>
  <c r="V98" i="10"/>
  <c r="V101" i="10"/>
  <c r="V102" i="10"/>
  <c r="G58" i="3"/>
  <c r="D58" i="3"/>
  <c r="B53" i="3"/>
  <c r="B58" i="3"/>
  <c r="D55" i="3"/>
  <c r="F58" i="3" l="1"/>
  <c r="G52" i="3"/>
  <c r="G53" i="3"/>
  <c r="G54" i="3"/>
  <c r="G55" i="3"/>
  <c r="G56" i="3"/>
  <c r="G51" i="3"/>
  <c r="D52" i="3"/>
  <c r="D53" i="3"/>
  <c r="D54" i="3"/>
  <c r="D56" i="3"/>
  <c r="D51" i="3"/>
  <c r="H58" i="3"/>
  <c r="E58" i="3"/>
  <c r="J3" i="9" l="1"/>
  <c r="B13" i="9" s="1"/>
  <c r="J4" i="9"/>
  <c r="B19" i="9" s="1"/>
  <c r="D5" i="9"/>
  <c r="D6" i="9"/>
  <c r="G20" i="9" s="1"/>
  <c r="H20" i="9" s="1"/>
  <c r="H6" i="9"/>
  <c r="D7" i="9"/>
  <c r="D8" i="9"/>
  <c r="H8" i="9"/>
  <c r="D9" i="9"/>
  <c r="J9" i="9"/>
  <c r="B15" i="9" s="1"/>
  <c r="D10" i="9"/>
  <c r="B11" i="9"/>
  <c r="H11" i="9"/>
  <c r="H13" i="9"/>
  <c r="B14" i="9"/>
  <c r="B16" i="9"/>
  <c r="H16" i="9"/>
  <c r="B17" i="9"/>
  <c r="B20" i="9"/>
  <c r="B22" i="9"/>
  <c r="G21" i="9" l="1"/>
  <c r="H21" i="9" s="1"/>
  <c r="B21" i="9"/>
  <c r="G22" i="9" s="1"/>
  <c r="H22" i="9" s="1"/>
  <c r="AH2" i="8" l="1"/>
  <c r="AJ11" i="8" s="1"/>
  <c r="AG2" i="8"/>
  <c r="AJ30" i="8" l="1"/>
  <c r="AJ27" i="8"/>
  <c r="AJ15" i="8"/>
  <c r="AJ31" i="8"/>
  <c r="AJ3" i="8"/>
  <c r="AJ19" i="8"/>
  <c r="AJ7" i="8"/>
  <c r="AJ23" i="8"/>
  <c r="AJ4" i="8"/>
  <c r="AJ8" i="8"/>
  <c r="AJ12" i="8"/>
  <c r="AJ16" i="8"/>
  <c r="AJ20" i="8"/>
  <c r="AJ24" i="8"/>
  <c r="AJ28" i="8"/>
  <c r="AJ2" i="8"/>
  <c r="AJ5" i="8"/>
  <c r="AJ9" i="8"/>
  <c r="AJ13" i="8"/>
  <c r="AJ17" i="8"/>
  <c r="AJ21" i="8"/>
  <c r="AJ25" i="8"/>
  <c r="AJ29" i="8"/>
  <c r="AJ6" i="8"/>
  <c r="AJ10" i="8"/>
  <c r="AJ14" i="8"/>
  <c r="AJ18" i="8"/>
  <c r="AJ22" i="8"/>
  <c r="AJ26" i="8"/>
  <c r="B71" i="3"/>
  <c r="B72" i="3"/>
  <c r="B73" i="3"/>
  <c r="B74" i="3"/>
  <c r="B75" i="3"/>
  <c r="B76" i="3"/>
  <c r="B64" i="3"/>
  <c r="B65" i="3"/>
  <c r="B66" i="3"/>
  <c r="B67" i="3"/>
  <c r="B68" i="3"/>
  <c r="B63" i="3"/>
  <c r="B52" i="3"/>
  <c r="B54" i="3"/>
  <c r="B55" i="3"/>
  <c r="B56" i="3"/>
  <c r="B51" i="3"/>
  <c r="AH4" i="8" l="1"/>
  <c r="AH7" i="8"/>
  <c r="AH5" i="8"/>
  <c r="AH6" i="8"/>
  <c r="B83" i="3"/>
  <c r="B80" i="3"/>
  <c r="A34" i="3"/>
  <c r="E41" i="3"/>
  <c r="E40" i="3"/>
  <c r="E39" i="3"/>
  <c r="E37" i="3"/>
  <c r="E38" i="3"/>
  <c r="G64" i="3"/>
  <c r="H64" i="3" s="1"/>
  <c r="G65" i="3"/>
  <c r="H65" i="3" s="1"/>
  <c r="G66" i="3"/>
  <c r="H66" i="3" s="1"/>
  <c r="G67" i="3"/>
  <c r="H67" i="3" s="1"/>
  <c r="G68" i="3"/>
  <c r="H68" i="3" s="1"/>
  <c r="G63" i="3"/>
  <c r="H63" i="3" s="1"/>
  <c r="D64" i="3"/>
  <c r="E64" i="3" s="1"/>
  <c r="D65" i="3"/>
  <c r="F65" i="3" s="1"/>
  <c r="D66" i="3"/>
  <c r="F66" i="3" s="1"/>
  <c r="D67" i="3"/>
  <c r="F67" i="3" s="1"/>
  <c r="D68" i="3"/>
  <c r="E68" i="3" s="1"/>
  <c r="D63" i="3"/>
  <c r="F63" i="3" s="1"/>
  <c r="F20" i="3"/>
  <c r="AH9" i="8" l="1"/>
  <c r="A45" i="3" s="1"/>
  <c r="E67" i="3"/>
  <c r="F68" i="3"/>
  <c r="F64" i="3"/>
  <c r="E66" i="3"/>
  <c r="E65" i="3"/>
  <c r="E63" i="3"/>
  <c r="E72" i="3"/>
  <c r="E73" i="3"/>
  <c r="E74" i="3"/>
  <c r="E75" i="3"/>
  <c r="E76" i="3"/>
  <c r="E71" i="3" l="1"/>
  <c r="B27" i="5" l="1"/>
  <c r="B28" i="5"/>
  <c r="B29" i="5"/>
  <c r="B30" i="5"/>
  <c r="B31" i="5"/>
  <c r="B26" i="5"/>
  <c r="F27" i="5" l="1"/>
  <c r="N27" i="5"/>
  <c r="F30" i="5"/>
  <c r="N30" i="5"/>
  <c r="F28" i="5"/>
  <c r="N28" i="5"/>
  <c r="G31" i="5"/>
  <c r="N31" i="5"/>
  <c r="F29" i="5"/>
  <c r="N29" i="5"/>
  <c r="G26" i="5"/>
  <c r="N26" i="5"/>
  <c r="G29" i="5"/>
  <c r="G30" i="5"/>
  <c r="F31" i="5"/>
  <c r="G28" i="5"/>
  <c r="G27" i="5"/>
  <c r="F26" i="5"/>
  <c r="F52" i="3"/>
  <c r="F54" i="3"/>
  <c r="F55" i="3"/>
  <c r="F56" i="3"/>
  <c r="F51" i="3"/>
  <c r="E54" i="3"/>
  <c r="E53" i="3"/>
  <c r="H53" i="3"/>
  <c r="H54" i="3"/>
  <c r="E55" i="3"/>
  <c r="H55" i="3"/>
  <c r="E56" i="3"/>
  <c r="H56" i="3"/>
  <c r="H52" i="3"/>
  <c r="E52" i="3"/>
  <c r="E51" i="3"/>
  <c r="H51" i="3"/>
  <c r="A20" i="3"/>
  <c r="D46" i="3" l="1"/>
  <c r="C3" i="3" s="1"/>
  <c r="D47" i="3"/>
  <c r="F53" i="3"/>
  <c r="D48" i="3" s="1"/>
  <c r="C29" i="5" s="1"/>
  <c r="C5" i="3"/>
  <c r="G2" i="7" s="1"/>
  <c r="G4" i="7" s="1"/>
  <c r="C6" i="3" l="1"/>
  <c r="C7" i="3" s="1"/>
  <c r="H2" i="7"/>
  <c r="H2" i="3"/>
  <c r="I2" i="7"/>
  <c r="J2" i="7"/>
  <c r="B79" i="3"/>
  <c r="B84" i="3" s="1"/>
  <c r="A40" i="3" s="1"/>
  <c r="C31" i="5"/>
  <c r="E31" i="5" s="1"/>
  <c r="C27" i="5"/>
  <c r="D27" i="5" s="1"/>
  <c r="C28" i="5"/>
  <c r="E28" i="5" s="1"/>
  <c r="C26" i="5"/>
  <c r="C30" i="5"/>
  <c r="M30" i="5" s="1"/>
  <c r="O30" i="5" s="1"/>
  <c r="D75" i="3" s="1"/>
  <c r="D29" i="5"/>
  <c r="E29" i="5"/>
  <c r="M29" i="5"/>
  <c r="O29" i="5" s="1"/>
  <c r="D74" i="3" s="1"/>
  <c r="H1" i="3"/>
  <c r="K2" i="7"/>
  <c r="D26" i="5" l="1"/>
  <c r="H26" i="5" s="1"/>
  <c r="E26" i="5"/>
  <c r="K26" i="5" s="1"/>
  <c r="B81" i="3"/>
  <c r="M27" i="5"/>
  <c r="O27" i="5" s="1"/>
  <c r="D72" i="3" s="1"/>
  <c r="M31" i="5"/>
  <c r="O31" i="5" s="1"/>
  <c r="D76" i="3" s="1"/>
  <c r="E27" i="5"/>
  <c r="K27" i="5" s="1"/>
  <c r="D31" i="5"/>
  <c r="I31" i="5" s="1"/>
  <c r="M28" i="5"/>
  <c r="O28" i="5" s="1"/>
  <c r="D73" i="3" s="1"/>
  <c r="D28" i="5"/>
  <c r="H28" i="5" s="1"/>
  <c r="M26" i="5"/>
  <c r="O26" i="5" s="1"/>
  <c r="D71" i="3" s="1"/>
  <c r="D30" i="5"/>
  <c r="H30" i="5" s="1"/>
  <c r="E30" i="5"/>
  <c r="J30" i="5" s="1"/>
  <c r="H29" i="5"/>
  <c r="I29" i="5"/>
  <c r="J29" i="5"/>
  <c r="K29" i="5"/>
  <c r="H27" i="5"/>
  <c r="I27" i="5"/>
  <c r="J28" i="5"/>
  <c r="K28" i="5"/>
  <c r="K31" i="5"/>
  <c r="J31" i="5"/>
  <c r="I26" i="5" l="1"/>
  <c r="H31" i="5"/>
  <c r="L31" i="5" s="1"/>
  <c r="F76" i="3" s="1"/>
  <c r="K30" i="5"/>
  <c r="J27" i="5"/>
  <c r="L27" i="5" s="1"/>
  <c r="F72" i="3" s="1"/>
  <c r="I28" i="5"/>
  <c r="L28" i="5" s="1"/>
  <c r="F73" i="3" s="1"/>
  <c r="J26" i="5"/>
  <c r="I30" i="5"/>
  <c r="L29" i="5"/>
  <c r="F74" i="3" s="1"/>
  <c r="L26" i="5" l="1"/>
  <c r="F71" i="3" s="1"/>
  <c r="L30" i="5"/>
  <c r="F75" i="3" s="1"/>
  <c r="C4" i="3" l="1"/>
  <c r="C8" i="3" s="1"/>
</calcChain>
</file>

<file path=xl/sharedStrings.xml><?xml version="1.0" encoding="utf-8"?>
<sst xmlns="http://schemas.openxmlformats.org/spreadsheetml/2006/main" count="899" uniqueCount="397">
  <si>
    <t>G</t>
  </si>
  <si>
    <t>lbs</t>
  </si>
  <si>
    <t>Total</t>
  </si>
  <si>
    <t>PPG</t>
  </si>
  <si>
    <t>Batch Size</t>
  </si>
  <si>
    <t>Gallons</t>
  </si>
  <si>
    <t>Boil Size</t>
  </si>
  <si>
    <t>Boil Time</t>
  </si>
  <si>
    <t>Fermentables</t>
  </si>
  <si>
    <t>L</t>
  </si>
  <si>
    <t>Name</t>
  </si>
  <si>
    <t>LME - Pilsen</t>
  </si>
  <si>
    <t>LME - Extra Light</t>
  </si>
  <si>
    <t>LME - Wheat</t>
  </si>
  <si>
    <t>LME - Light/Pale</t>
  </si>
  <si>
    <t>LME - Munich</t>
  </si>
  <si>
    <t>LME - Amber</t>
  </si>
  <si>
    <t>LME - Dark</t>
  </si>
  <si>
    <t>DME - Pilsen</t>
  </si>
  <si>
    <t>DME - Extra Light</t>
  </si>
  <si>
    <t>DME - Wheat</t>
  </si>
  <si>
    <t>DME - Light/Pale</t>
  </si>
  <si>
    <t>DME - Munich</t>
  </si>
  <si>
    <t>DME - Amber</t>
  </si>
  <si>
    <t>DME - Dark</t>
  </si>
  <si>
    <t>SRM</t>
  </si>
  <si>
    <t>MCU</t>
  </si>
  <si>
    <t>Late Add?</t>
  </si>
  <si>
    <t>&lt;Select&gt;</t>
  </si>
  <si>
    <t>Honey</t>
  </si>
  <si>
    <t>Hops</t>
  </si>
  <si>
    <t>oz</t>
  </si>
  <si>
    <t>Batch OG</t>
  </si>
  <si>
    <t>Boil OG</t>
  </si>
  <si>
    <t>Gravity vs. Time</t>
  </si>
  <si>
    <t>Utilization</t>
  </si>
  <si>
    <t>Hop 1</t>
  </si>
  <si>
    <t>Hop 2</t>
  </si>
  <si>
    <t>Hop 3</t>
  </si>
  <si>
    <t>Hop 4</t>
  </si>
  <si>
    <t>Hop 5</t>
  </si>
  <si>
    <t>Hop 6</t>
  </si>
  <si>
    <t>Time</t>
  </si>
  <si>
    <t>Gravity</t>
  </si>
  <si>
    <t>x1</t>
  </si>
  <si>
    <t>x2</t>
  </si>
  <si>
    <t>y1</t>
  </si>
  <si>
    <t>y2</t>
  </si>
  <si>
    <t>q11</t>
  </si>
  <si>
    <t>q12</t>
  </si>
  <si>
    <t>q21</t>
  </si>
  <si>
    <t>q22</t>
  </si>
  <si>
    <t>AAU</t>
  </si>
  <si>
    <t>IBU</t>
  </si>
  <si>
    <t>f(G)</t>
  </si>
  <si>
    <t>f(t)</t>
  </si>
  <si>
    <t>U</t>
  </si>
  <si>
    <r>
      <rPr>
        <sz val="11"/>
        <color theme="1"/>
        <rFont val="SWGrekc"/>
      </rPr>
      <t>a</t>
    </r>
    <r>
      <rPr>
        <sz val="11"/>
        <color theme="1"/>
        <rFont val="Calibri"/>
        <family val="2"/>
        <scheme val="minor"/>
      </rPr>
      <t xml:space="preserve">  (%)</t>
    </r>
  </si>
  <si>
    <t>Hop Name</t>
  </si>
  <si>
    <t>Carapils</t>
  </si>
  <si>
    <t>Carafoam</t>
  </si>
  <si>
    <t>Caramel 20</t>
  </si>
  <si>
    <t>CaraVienne</t>
  </si>
  <si>
    <t>Carastan</t>
  </si>
  <si>
    <t>Melanoidin malt</t>
  </si>
  <si>
    <t>Caramel 40</t>
  </si>
  <si>
    <t>Caramel 60</t>
  </si>
  <si>
    <t>Caramel 80</t>
  </si>
  <si>
    <t>Caramel 120</t>
  </si>
  <si>
    <t>Carawheat</t>
  </si>
  <si>
    <t>Caramunich</t>
  </si>
  <si>
    <t>Special B</t>
  </si>
  <si>
    <t>Amber malt</t>
  </si>
  <si>
    <t>Brown malt</t>
  </si>
  <si>
    <t>Pale Chocolate</t>
  </si>
  <si>
    <t>Chocolate</t>
  </si>
  <si>
    <t>Dark chocolate</t>
  </si>
  <si>
    <t>Carafa Spec II</t>
  </si>
  <si>
    <t>Carafa Spec III</t>
  </si>
  <si>
    <t>Black Prinz</t>
  </si>
  <si>
    <t>Roast barley</t>
  </si>
  <si>
    <t>Midnight wheat</t>
  </si>
  <si>
    <t>Black malt</t>
  </si>
  <si>
    <t>Specialty Grains</t>
  </si>
  <si>
    <t>Batch Grav</t>
  </si>
  <si>
    <t>Boil Grav</t>
  </si>
  <si>
    <t>Yeast</t>
  </si>
  <si>
    <t>US-05</t>
  </si>
  <si>
    <t>Attenuation</t>
  </si>
  <si>
    <t>US-56</t>
  </si>
  <si>
    <t>BE-134</t>
  </si>
  <si>
    <t>BE-256</t>
  </si>
  <si>
    <t>S-04</t>
  </si>
  <si>
    <t>K-97</t>
  </si>
  <si>
    <t>S-33</t>
  </si>
  <si>
    <t>T-58</t>
  </si>
  <si>
    <t>WB-06</t>
  </si>
  <si>
    <t>High</t>
  </si>
  <si>
    <t>ABV tolerance</t>
  </si>
  <si>
    <t>Flocculation</t>
  </si>
  <si>
    <t>Temp Lo</t>
  </si>
  <si>
    <t>Temp Hi</t>
  </si>
  <si>
    <t>Medium</t>
  </si>
  <si>
    <t>None</t>
  </si>
  <si>
    <t>Low</t>
  </si>
  <si>
    <t>Danstar Nottingham</t>
  </si>
  <si>
    <t>g</t>
  </si>
  <si>
    <t>Atten.</t>
  </si>
  <si>
    <t>Min Temp</t>
  </si>
  <si>
    <t>Max Temp</t>
  </si>
  <si>
    <t>Cane Sugar</t>
  </si>
  <si>
    <t>Corn Sugar</t>
  </si>
  <si>
    <t>Molasses</t>
  </si>
  <si>
    <t>Corn Syrup</t>
  </si>
  <si>
    <t>Pellet?</t>
  </si>
  <si>
    <t>P</t>
  </si>
  <si>
    <t>Billion Cells Reqired</t>
  </si>
  <si>
    <t>Billion cells/g</t>
  </si>
  <si>
    <t>Billion Cells Provided</t>
  </si>
  <si>
    <t>Specialty Grain</t>
  </si>
  <si>
    <t>Actual Pitch Rate (M cells/mL/P)</t>
  </si>
  <si>
    <t>ABV Tolerance</t>
  </si>
  <si>
    <t>Oiginal Gravity</t>
  </si>
  <si>
    <t>Color (SRM)</t>
  </si>
  <si>
    <t>Estimated FG</t>
  </si>
  <si>
    <t>Estimated ABV</t>
  </si>
  <si>
    <t>BU/GU Ratio</t>
  </si>
  <si>
    <t>R</t>
  </si>
  <si>
    <t>B</t>
  </si>
  <si>
    <t>Recipe SRM</t>
  </si>
  <si>
    <t>Description</t>
  </si>
  <si>
    <t>Pale Straw</t>
  </si>
  <si>
    <t>Straw</t>
  </si>
  <si>
    <t>Pale Gold</t>
  </si>
  <si>
    <t>Deep Gold</t>
  </si>
  <si>
    <t>Pale Amber</t>
  </si>
  <si>
    <t>Medium Amber</t>
  </si>
  <si>
    <t>Deep Amber</t>
  </si>
  <si>
    <t>Amber Brown</t>
  </si>
  <si>
    <t>Brown</t>
  </si>
  <si>
    <t>Ruby Brown</t>
  </si>
  <si>
    <t>Deep Brown</t>
  </si>
  <si>
    <t>Black</t>
  </si>
  <si>
    <t>Inputs</t>
  </si>
  <si>
    <t>Summary</t>
  </si>
  <si>
    <t>Color:</t>
  </si>
  <si>
    <t>Actual OG:</t>
  </si>
  <si>
    <t>Actual FG:</t>
  </si>
  <si>
    <t>Actual ABV:</t>
  </si>
  <si>
    <t>Actual Color:</t>
  </si>
  <si>
    <t>Notes:</t>
  </si>
  <si>
    <t>Caramel 10</t>
  </si>
  <si>
    <t>Belgian Cara 8</t>
  </si>
  <si>
    <t>PPGguess</t>
  </si>
  <si>
    <t>Briess Special</t>
  </si>
  <si>
    <t>Belgian Biscuit</t>
  </si>
  <si>
    <t>Guess?</t>
  </si>
  <si>
    <t>Extra Dark Crystal</t>
  </si>
  <si>
    <t>Lactose</t>
  </si>
  <si>
    <t>https://www.morebeer.com/articles/using_steeping_grains</t>
  </si>
  <si>
    <t>Column1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</si>
  <si>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</si>
  <si>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</si>
  <si>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</si>
  <si>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</si>
  <si>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</si>
  <si>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</si>
  <si>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</si>
  <si>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</si>
  <si>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</si>
  <si>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</si>
  <si>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</si>
  <si>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</si>
  <si>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</si>
  <si>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</si>
  <si>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</si>
  <si>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</si>
  <si>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</si>
  <si>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</si>
  <si>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</si>
  <si>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</si>
  <si>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</si>
  <si>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</si>
  <si>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</si>
  <si>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</si>
  <si>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</si>
  <si>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</si>
  <si>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</si>
  <si>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</si>
  <si>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</si>
  <si>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</si>
  <si>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Beer Style Guide</t>
  </si>
  <si>
    <t>Vol Co2</t>
  </si>
  <si>
    <t>Temp</t>
  </si>
  <si>
    <t>Pressure</t>
  </si>
  <si>
    <r>
      <t>Volumes of CO</t>
    </r>
    <r>
      <rPr>
        <vertAlign val="subscript"/>
        <sz val="11"/>
        <color theme="1"/>
        <rFont val="Calibri"/>
        <family val="2"/>
        <scheme val="minor"/>
      </rPr>
      <t>2</t>
    </r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</si>
  <si>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</si>
  <si>
    <t>Keg Pressue (psi)</t>
  </si>
  <si>
    <t>Tempurature (F)</t>
  </si>
  <si>
    <t>CaraRed</t>
  </si>
  <si>
    <t>FG</t>
  </si>
  <si>
    <t>OG of DME</t>
  </si>
  <si>
    <t>Munich DME</t>
  </si>
  <si>
    <t>OG of LME</t>
  </si>
  <si>
    <t>Vienna DME</t>
  </si>
  <si>
    <t>OG of All grain</t>
  </si>
  <si>
    <t>Wheat DME</t>
  </si>
  <si>
    <t>ABV (%)</t>
  </si>
  <si>
    <t>Pilsen/Pale Ale DME</t>
  </si>
  <si>
    <t>Dry Malt Extract</t>
  </si>
  <si>
    <t>Rye LME</t>
  </si>
  <si>
    <t>Base Malt</t>
  </si>
  <si>
    <t>Munich LME</t>
  </si>
  <si>
    <t>Carmel</t>
  </si>
  <si>
    <t>Vienna LME</t>
  </si>
  <si>
    <t>Rye</t>
  </si>
  <si>
    <t>Wheat LME</t>
  </si>
  <si>
    <t>Pilsen/Pale Ale LME</t>
  </si>
  <si>
    <t>Munich</t>
  </si>
  <si>
    <t>Liquid Malt Extract</t>
  </si>
  <si>
    <t>Carmel 25-40L (must use LME)</t>
  </si>
  <si>
    <t>Vienna</t>
  </si>
  <si>
    <t>Rye (must use LME)</t>
  </si>
  <si>
    <t>Wheat</t>
  </si>
  <si>
    <t>Pils/PA DME</t>
  </si>
  <si>
    <t>Max PPG</t>
  </si>
  <si>
    <t>Pils/PA LME</t>
  </si>
  <si>
    <t>Assumed Mash Efficiency</t>
  </si>
  <si>
    <t>Conversion Factor</t>
  </si>
  <si>
    <t>Composition</t>
  </si>
  <si>
    <t>Type</t>
  </si>
  <si>
    <t>gal</t>
  </si>
  <si>
    <t>Batch Size (fermentor)</t>
  </si>
  <si>
    <t>Note: Unsure about how Carmel 25-40L fits with LME</t>
  </si>
  <si>
    <t>All Grain</t>
  </si>
  <si>
    <t>Target Pitch (M cells/mL/P)</t>
  </si>
  <si>
    <t>Fermentable OG</t>
  </si>
  <si>
    <t>Nonfermentable Sugar</t>
  </si>
  <si>
    <t>Nonfermentables</t>
  </si>
  <si>
    <t>Maximum SRM</t>
  </si>
  <si>
    <t>Maximum ABV</t>
  </si>
  <si>
    <t>01a. American Light Lager</t>
  </si>
  <si>
    <t>Standard American Beer</t>
  </si>
  <si>
    <t>01b. American Lager</t>
  </si>
  <si>
    <t>01c. Cream Ale</t>
  </si>
  <si>
    <t>01d. American Wheat Beer</t>
  </si>
  <si>
    <t>02a. International Pale Lager</t>
  </si>
  <si>
    <t>International Lager</t>
  </si>
  <si>
    <t>02b. International Amber Lager</t>
  </si>
  <si>
    <t>02c. International Dark Lager</t>
  </si>
  <si>
    <t>03a. Czech Pale Lager</t>
  </si>
  <si>
    <t>Czech Lager</t>
  </si>
  <si>
    <t>03b. Czech Premium Pale Lager</t>
  </si>
  <si>
    <t>03c. Czech Amber Lager</t>
  </si>
  <si>
    <t>03d. Czech Dark Lager</t>
  </si>
  <si>
    <t>04a. Munich Helles</t>
  </si>
  <si>
    <t>Pale Malty European Lager</t>
  </si>
  <si>
    <t>04b. Helles Bock</t>
  </si>
  <si>
    <t>04c. Festbier</t>
  </si>
  <si>
    <t>05a. German Leichtbier</t>
  </si>
  <si>
    <t>Pale Bitter European Beer</t>
  </si>
  <si>
    <t>05b. Kolsch</t>
  </si>
  <si>
    <t>05c. German Helles Exportbier</t>
  </si>
  <si>
    <t>05d. German Pils</t>
  </si>
  <si>
    <t>06a. Marzen</t>
  </si>
  <si>
    <t>Amber Malty European Lager</t>
  </si>
  <si>
    <t>06b. Rauchbier</t>
  </si>
  <si>
    <t>06c. Dunkles Bock</t>
  </si>
  <si>
    <t>07a. Vienna Lager</t>
  </si>
  <si>
    <t>Amber Bitter European Beer</t>
  </si>
  <si>
    <t>07b. Altbier</t>
  </si>
  <si>
    <t>07c. Kellerbier, amber</t>
  </si>
  <si>
    <t>07c. Kellerbier, pale</t>
  </si>
  <si>
    <t>08a. Munich Dunkel</t>
  </si>
  <si>
    <t>Dark European Lager</t>
  </si>
  <si>
    <t>08b. Schwarzbier</t>
  </si>
  <si>
    <t>09a. Doppelbock</t>
  </si>
  <si>
    <t>Strong European Beer</t>
  </si>
  <si>
    <t>09b. Eisbock</t>
  </si>
  <si>
    <t>09c. Baltic Porter</t>
  </si>
  <si>
    <t>10a. Weissbier</t>
  </si>
  <si>
    <t>German Wheat Beer</t>
  </si>
  <si>
    <t>10b. Dunkles Weissbier</t>
  </si>
  <si>
    <t>10c. Weizenbock</t>
  </si>
  <si>
    <t>11a. Ordinary Bitter</t>
  </si>
  <si>
    <t>British Bitter</t>
  </si>
  <si>
    <t>11b. Best Bitter</t>
  </si>
  <si>
    <t>11c. Strong Bitter</t>
  </si>
  <si>
    <t>12a. British Golden Ale</t>
  </si>
  <si>
    <t>Pale Commonwealth Beer</t>
  </si>
  <si>
    <t>12b. Australian Sparkling Ale</t>
  </si>
  <si>
    <t>12c. English IPA</t>
  </si>
  <si>
    <t>13a. Dark Mild</t>
  </si>
  <si>
    <t>Brown British Beer</t>
  </si>
  <si>
    <t>13b. British Brown Ale</t>
  </si>
  <si>
    <t>13c. English Porter</t>
  </si>
  <si>
    <t>14a. Scottish Light</t>
  </si>
  <si>
    <t>Scottish Ale</t>
  </si>
  <si>
    <t>14b. Scottish Heavy</t>
  </si>
  <si>
    <t>14c. Scottish Export</t>
  </si>
  <si>
    <t>15a. Irish Red Ale</t>
  </si>
  <si>
    <t>Irish Beer</t>
  </si>
  <si>
    <t>15b. Irish Stout</t>
  </si>
  <si>
    <t>15c. Irish Extra Stout</t>
  </si>
  <si>
    <t>16a. Sweet Stout</t>
  </si>
  <si>
    <t>Dark British Beer</t>
  </si>
  <si>
    <t>16b. Oatmeal Stout</t>
  </si>
  <si>
    <t>16c. Tropical Stout</t>
  </si>
  <si>
    <t>16d. Foreign Extra Stout</t>
  </si>
  <si>
    <t>17a. British Strong Ale</t>
  </si>
  <si>
    <t>Strong British Ale</t>
  </si>
  <si>
    <t>17b. Old Ale</t>
  </si>
  <si>
    <t>17c. Wee Heavy</t>
  </si>
  <si>
    <t>17d. English Barleywine</t>
  </si>
  <si>
    <t>18a. Blonde Ale</t>
  </si>
  <si>
    <t>Pale American Ale</t>
  </si>
  <si>
    <t>18b. American Pale Ale</t>
  </si>
  <si>
    <t>19a. American Amber Ale</t>
  </si>
  <si>
    <t>Amber and Brown American Beer</t>
  </si>
  <si>
    <t>19b. California Common</t>
  </si>
  <si>
    <t>19c. American Brown Ale</t>
  </si>
  <si>
    <t>20a. American Porter</t>
  </si>
  <si>
    <t>American Porter and Stout</t>
  </si>
  <si>
    <t>20b. American Stout</t>
  </si>
  <si>
    <t>20c. Imperial Stout</t>
  </si>
  <si>
    <t>21a. American IPA</t>
  </si>
  <si>
    <t>IPA</t>
  </si>
  <si>
    <t>21b. Belgian IPA</t>
  </si>
  <si>
    <t>21b. Black IPA</t>
  </si>
  <si>
    <t>21b. Brown IPA</t>
  </si>
  <si>
    <t>21b. Red IPA</t>
  </si>
  <si>
    <t>21b. Rye IPA</t>
  </si>
  <si>
    <t>21b. White IPA</t>
  </si>
  <si>
    <t>22a. Double IPA</t>
  </si>
  <si>
    <t>Strong American Ale</t>
  </si>
  <si>
    <t>22b. American Strong Ale</t>
  </si>
  <si>
    <t>22c. American Barleywine</t>
  </si>
  <si>
    <t>22d. Wheatwine</t>
  </si>
  <si>
    <t>23a. Berliner Weisse</t>
  </si>
  <si>
    <t>European Sour Ale</t>
  </si>
  <si>
    <t>23b. Flanders Red Ale</t>
  </si>
  <si>
    <t>23c. Oud Bruin</t>
  </si>
  <si>
    <t>24a. Witbier</t>
  </si>
  <si>
    <t>Belgian Ale</t>
  </si>
  <si>
    <t>24b. Belgian Pale Ale</t>
  </si>
  <si>
    <t>24c. Biere de Garde</t>
  </si>
  <si>
    <t>24d. Lambic</t>
  </si>
  <si>
    <t>24e. Gueuze</t>
  </si>
  <si>
    <t>24f. Fruit Lambic</t>
  </si>
  <si>
    <t>25a. Belgian Blond Ale</t>
  </si>
  <si>
    <t>Strong Belgian Ale</t>
  </si>
  <si>
    <t>25b. Saison</t>
  </si>
  <si>
    <t>25c. Belgian Golden Strong Ale</t>
  </si>
  <si>
    <t>26a. Trappist Single</t>
  </si>
  <si>
    <t>Trappist Ale</t>
  </si>
  <si>
    <t>26b. Belgian Dubbel</t>
  </si>
  <si>
    <t>26c. Belgian Trippel</t>
  </si>
  <si>
    <t>26d. Belgian Dark Strong Ale</t>
  </si>
  <si>
    <t>27. Gose</t>
  </si>
  <si>
    <t>Historical Beer</t>
  </si>
  <si>
    <t>27. Kentucky Common</t>
  </si>
  <si>
    <t>27. Lichtenhainer</t>
  </si>
  <si>
    <t>27. London Brown Ale</t>
  </si>
  <si>
    <t>27. Piwo Grodziskie</t>
  </si>
  <si>
    <t>27. Pre-Prohibition Lager</t>
  </si>
  <si>
    <t>27. Pre-Prohibition Porter</t>
  </si>
  <si>
    <t>27. Roggenbier</t>
  </si>
  <si>
    <t>27. Sahti</t>
  </si>
  <si>
    <t>Style</t>
  </si>
  <si>
    <t>Style Avg</t>
  </si>
  <si>
    <t>Min</t>
  </si>
  <si>
    <t>Max</t>
  </si>
  <si>
    <t>OG</t>
  </si>
  <si>
    <t>Minimum SRM 7</t>
  </si>
  <si>
    <t>Minimum ABV 9</t>
  </si>
  <si>
    <t>1 BJCP Style Name</t>
  </si>
  <si>
    <t>2 BJCP Family Name</t>
  </si>
  <si>
    <t>3 Balance: Balanced</t>
  </si>
  <si>
    <t>4 Balance: Malty</t>
  </si>
  <si>
    <t>5 Balance: Not Listed</t>
  </si>
  <si>
    <t>6 Balance: Bitter</t>
  </si>
  <si>
    <t>11 Minimum OG</t>
  </si>
  <si>
    <t>12 Maximum OG</t>
  </si>
  <si>
    <t>13 Minimum FG</t>
  </si>
  <si>
    <t>14 Maximum FG</t>
  </si>
  <si>
    <t>15 Minimum IBU</t>
  </si>
  <si>
    <t>16 Maximum IBU</t>
  </si>
  <si>
    <t>17 Average SRM</t>
  </si>
  <si>
    <t>18 Average ABV</t>
  </si>
  <si>
    <t>19 Average OG</t>
  </si>
  <si>
    <t>20 Average FG</t>
  </si>
  <si>
    <t>21 Average IBU</t>
  </si>
  <si>
    <t>22 IBU To OG Ratio for Average IBU and OG</t>
  </si>
  <si>
    <t>23 Max IBU to OG</t>
  </si>
  <si>
    <t>24 Min IBU to OG</t>
  </si>
  <si>
    <t>Saaz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</si>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</sst>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%"/>
    <numFmt numFmtId="167" formatCode="#,##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WGrekc"/>
    </font>
    <font>
      <sz val="10"/>
      <color rgb="FF474749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u/>
      <sz val="11"/>
      <color theme="1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7DC3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5" fontId="1" fillId="3" borderId="1" xfId="0" applyNumberFormat="1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/>
    </xf>
    <xf numFmtId="0" fontId="1" fillId="0" borderId="0" xfId="0" applyFont="1"/>
    <xf numFmtId="165" fontId="0" fillId="0" borderId="0" xfId="0" applyNumberFormat="1"/>
    <xf numFmtId="0" fontId="0" fillId="0" borderId="0" xfId="0" applyAlignment="1">
      <alignment horizontal="center" vertical="center"/>
    </xf>
    <xf numFmtId="166" fontId="0" fillId="0" borderId="0" xfId="1" applyNumberFormat="1" applyFont="1"/>
    <xf numFmtId="11" fontId="0" fillId="0" borderId="0" xfId="0" applyNumberFormat="1"/>
    <xf numFmtId="2" fontId="1" fillId="3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6" fontId="1" fillId="3" borderId="1" xfId="1" applyNumberFormat="1" applyFont="1" applyFill="1" applyBorder="1" applyAlignment="1">
      <alignment horizontal="center"/>
    </xf>
    <xf numFmtId="9" fontId="0" fillId="0" borderId="0" xfId="1" applyFont="1"/>
    <xf numFmtId="166" fontId="0" fillId="0" borderId="0" xfId="0" applyNumberFormat="1"/>
    <xf numFmtId="0" fontId="1" fillId="3" borderId="1" xfId="0" applyFont="1" applyFill="1" applyBorder="1" applyAlignment="1">
      <alignment horizontal="center" vertical="center"/>
    </xf>
    <xf numFmtId="9" fontId="1" fillId="3" borderId="1" xfId="1" applyFont="1" applyFill="1" applyBorder="1" applyAlignment="1">
      <alignment horizontal="center" vertical="center"/>
    </xf>
    <xf numFmtId="10" fontId="1" fillId="3" borderId="1" xfId="1" applyNumberFormat="1" applyFont="1" applyFill="1" applyBorder="1" applyAlignment="1">
      <alignment horizontal="center" vertical="center"/>
    </xf>
    <xf numFmtId="10" fontId="1" fillId="3" borderId="1" xfId="1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/>
    <xf numFmtId="167" fontId="0" fillId="0" borderId="0" xfId="0" applyNumberFormat="1"/>
    <xf numFmtId="0" fontId="0" fillId="0" borderId="2" xfId="0" applyBorder="1"/>
    <xf numFmtId="0" fontId="5" fillId="5" borderId="4" xfId="0" applyFont="1" applyFill="1" applyBorder="1"/>
    <xf numFmtId="0" fontId="6" fillId="6" borderId="5" xfId="0" applyFont="1" applyFill="1" applyBorder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6" fillId="9" borderId="5" xfId="0" applyFont="1" applyFill="1" applyBorder="1" applyAlignment="1">
      <alignment horizontal="center"/>
    </xf>
    <xf numFmtId="0" fontId="6" fillId="9" borderId="6" xfId="0" applyFont="1" applyFill="1" applyBorder="1" applyAlignment="1">
      <alignment horizontal="center"/>
    </xf>
    <xf numFmtId="0" fontId="6" fillId="10" borderId="5" xfId="0" applyFont="1" applyFill="1" applyBorder="1" applyAlignment="1">
      <alignment horizontal="center"/>
    </xf>
    <xf numFmtId="0" fontId="6" fillId="8" borderId="6" xfId="0" applyFont="1" applyFill="1" applyBorder="1" applyAlignment="1">
      <alignment horizontal="center"/>
    </xf>
    <xf numFmtId="0" fontId="6" fillId="10" borderId="7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6" fillId="10" borderId="8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7" borderId="8" xfId="0" applyFont="1" applyFill="1" applyBorder="1" applyAlignment="1">
      <alignment horizontal="center"/>
    </xf>
    <xf numFmtId="0" fontId="6" fillId="7" borderId="9" xfId="0" applyFont="1" applyFill="1" applyBorder="1" applyAlignment="1">
      <alignment horizontal="center"/>
    </xf>
    <xf numFmtId="0" fontId="7" fillId="0" borderId="0" xfId="2"/>
    <xf numFmtId="2" fontId="0" fillId="0" borderId="0" xfId="0" applyNumberFormat="1"/>
    <xf numFmtId="0" fontId="10" fillId="0" borderId="0" xfId="0" applyFon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164" fontId="1" fillId="3" borderId="10" xfId="0" applyNumberFormat="1" applyFon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164" fontId="1" fillId="3" borderId="11" xfId="0" applyNumberFormat="1" applyFont="1" applyFill="1" applyBorder="1" applyAlignment="1">
      <alignment horizontal="center"/>
    </xf>
    <xf numFmtId="164" fontId="1" fillId="3" borderId="12" xfId="0" applyNumberFormat="1" applyFont="1" applyFill="1" applyBorder="1" applyAlignment="1">
      <alignment horizontal="center"/>
    </xf>
    <xf numFmtId="164" fontId="0" fillId="0" borderId="0" xfId="0" applyNumberFormat="1"/>
    <xf numFmtId="0" fontId="1" fillId="0" borderId="2" xfId="0" applyFont="1" applyBorder="1"/>
    <xf numFmtId="9" fontId="1" fillId="3" borderId="10" xfId="0" applyNumberFormat="1" applyFont="1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9" fontId="0" fillId="4" borderId="11" xfId="1" applyFont="1" applyFill="1" applyBorder="1" applyAlignment="1">
      <alignment horizontal="center"/>
    </xf>
    <xf numFmtId="9" fontId="0" fillId="4" borderId="12" xfId="1" applyFont="1" applyFill="1" applyBorder="1" applyAlignment="1">
      <alignment horizontal="center"/>
    </xf>
    <xf numFmtId="9" fontId="1" fillId="3" borderId="10" xfId="1" applyFont="1" applyFill="1" applyBorder="1" applyAlignment="1">
      <alignment horizontal="center"/>
    </xf>
    <xf numFmtId="9" fontId="0" fillId="4" borderId="1" xfId="1" applyFont="1" applyFill="1" applyBorder="1" applyAlignment="1">
      <alignment horizontal="center"/>
    </xf>
    <xf numFmtId="9" fontId="1" fillId="3" borderId="11" xfId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9" fontId="0" fillId="2" borderId="1" xfId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1" fillId="0" borderId="0" xfId="0" applyFont="1"/>
    <xf numFmtId="0" fontId="0" fillId="0" borderId="13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2" fillId="11" borderId="0" xfId="0" applyFont="1" applyFill="1"/>
    <xf numFmtId="0" fontId="12" fillId="0" borderId="0" xfId="0" applyFont="1"/>
    <xf numFmtId="166" fontId="12" fillId="0" borderId="0" xfId="1" applyNumberFormat="1" applyFont="1"/>
    <xf numFmtId="10" fontId="12" fillId="11" borderId="0" xfId="1" applyNumberFormat="1" applyFont="1" applyFill="1"/>
    <xf numFmtId="10" fontId="12" fillId="0" borderId="0" xfId="1" applyNumberFormat="1" applyFont="1"/>
    <xf numFmtId="10" fontId="0" fillId="0" borderId="0" xfId="1" applyNumberFormat="1" applyFont="1"/>
    <xf numFmtId="0" fontId="1" fillId="12" borderId="1" xfId="0" applyFont="1" applyFill="1" applyBorder="1" applyAlignment="1">
      <alignment horizontal="center"/>
    </xf>
    <xf numFmtId="166" fontId="1" fillId="12" borderId="1" xfId="1" applyNumberFormat="1" applyFont="1" applyFill="1" applyBorder="1" applyAlignment="1">
      <alignment horizontal="center"/>
    </xf>
    <xf numFmtId="0" fontId="0" fillId="13" borderId="3" xfId="0" applyFill="1" applyBorder="1"/>
    <xf numFmtId="0" fontId="0" fillId="13" borderId="0" xfId="0" applyFill="1"/>
  </cellXfs>
  <cellStyles count="3">
    <cellStyle name="Hyperlink" xfId="2" builtinId="8"/>
    <cellStyle name="Normal" xfId="0" builtinId="0"/>
    <cellStyle name="Percent" xfId="1" builtinId="5"/>
  </cellStyles>
  <dxfs count="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74749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00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00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00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00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00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00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00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C0C0C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C0C0C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C0C0C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C0C0C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C0C0C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C0C0C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C0C0C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C0C0C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C0C0C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C0C0C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C0C0C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99CC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99CC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99CC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99CC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99CC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99CC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99CC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99CC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99CC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99CC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FFFFFF"/>
        </patternFill>
      </fill>
      <border diagonalUp="0" diagonalDown="0">
        <left style="medium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00FF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E9E49AD-675F-4C2F-A661-83298FFE892E}" name="Table27" displayName="Table27" ref="A1:X102" totalsRowShown="0" headerRowDxfId="49" dataDxfId="48">
  <autoFilter ref="A1:X102" xr:uid="{B00C7E31-0277-435E-9452-0E3B5E622F6F}"/>
  <sortState xmlns:xlrd2="http://schemas.microsoft.com/office/spreadsheetml/2017/richdata2" ref="A2:V102">
    <sortCondition ref="A1:A102" customList="1a,1b,1c,1d,2a,2b,2c,3a,3b,3c,3d,4a,4b,4c,4d,5a,5b,5c,6a,6b,6c,7a,7b,7c,8a,8b,9a,9b,9c,10a,10b,10c,11a,11b,11c,12a,12b,12c,13a,13b,13c,14a,14b,14c,15a,15b,15c,16a,16b,16c,16d,17a,17b,17c,17d,18a,18b,19a,19b,19c,20a,20b,20c,21a,21b,22a,22b,22c,22d,23a,23b"/>
  </sortState>
  <tableColumns count="24">
    <tableColumn id="22" xr3:uid="{06E95124-2C4A-4E9A-B4B2-684C645EC716}" name="1 BJCP Style Name" dataDxfId="46" totalsRowDxfId="47"/>
    <tableColumn id="2" xr3:uid="{1200EA06-780A-40B8-8691-693EF71A1DEE}" name="2 BJCP Family Name" dataDxfId="44" totalsRowDxfId="45"/>
    <tableColumn id="26" xr3:uid="{587D5F85-1F9B-4A6D-8240-585724B6FC1E}" name="3 Balance: Balanced" dataDxfId="42" totalsRowDxfId="43"/>
    <tableColumn id="25" xr3:uid="{CE6F7DC6-8BDF-4B8C-BABD-71223A0270F6}" name="4 Balance: Malty" dataDxfId="40" totalsRowDxfId="41"/>
    <tableColumn id="24" xr3:uid="{86544E26-F761-468D-92F9-52DB8A531E79}" name="5 Balance: Not Listed" dataDxfId="38" totalsRowDxfId="39"/>
    <tableColumn id="23" xr3:uid="{11858FA1-1989-49F8-AC85-41B388ABA0D2}" name="6 Balance: Bitter" dataDxfId="36" totalsRowDxfId="37"/>
    <tableColumn id="6" xr3:uid="{C5EF9915-CAE5-49C1-8AD5-A32EEAF02A1B}" name="Minimum SRM 7" dataDxfId="34" totalsRowDxfId="35"/>
    <tableColumn id="7" xr3:uid="{3D2FF48C-68B3-4F15-B229-8D10ACA9EBB8}" name="Maximum SRM" dataDxfId="3" totalsRowDxfId="33"/>
    <tableColumn id="8" xr3:uid="{99EB9B34-C643-4A30-A007-3F0C35A7C270}" name="Minimum ABV 9" dataDxfId="2" totalsRowDxfId="32" dataCellStyle="Percent"/>
    <tableColumn id="9" xr3:uid="{9BB43437-C76B-47A9-934F-30BEA15FCE9A}" name="Maximum ABV" dataDxfId="0" totalsRowDxfId="31" dataCellStyle="Percent"/>
    <tableColumn id="10" xr3:uid="{429201D8-CABA-4709-9202-61A6912090B4}" name="11 Minimum OG" dataDxfId="1" totalsRowDxfId="30"/>
    <tableColumn id="11" xr3:uid="{999173E2-5D06-4802-AD94-F0266B5A8685}" name="12 Maximum OG" dataDxfId="28" totalsRowDxfId="29"/>
    <tableColumn id="12" xr3:uid="{924CC1AC-EB87-4D79-8185-720D254E046C}" name="13 Minimum FG" dataDxfId="26" totalsRowDxfId="27"/>
    <tableColumn id="13" xr3:uid="{DA1310FD-5FB5-4D1B-90CC-092082DEAB2E}" name="14 Maximum FG" dataDxfId="24" totalsRowDxfId="25"/>
    <tableColumn id="14" xr3:uid="{5442EE3A-9362-4FBA-BF1F-45DD60CCD11B}" name="15 Minimum IBU" dataDxfId="22" totalsRowDxfId="23"/>
    <tableColumn id="15" xr3:uid="{3FEDCD45-F602-456F-99C7-A6C9B3E7FD45}" name="16 Maximum IBU" dataDxfId="20" totalsRowDxfId="21"/>
    <tableColumn id="16" xr3:uid="{F89D0D14-C84C-4EAE-A0EE-F3BFDB02D92C}" name="17 Average SRM" dataDxfId="18" totalsRowDxfId="19">
      <calculatedColumnFormula>(G2+H2)/2</calculatedColumnFormula>
    </tableColumn>
    <tableColumn id="17" xr3:uid="{DB9F9BAD-6B87-4B26-A81F-0397458362D0}" name="18 Average ABV" dataDxfId="16" totalsRowDxfId="17" dataCellStyle="Percent">
      <calculatedColumnFormula>(I2+J2)/200</calculatedColumnFormula>
    </tableColumn>
    <tableColumn id="18" xr3:uid="{D32AD9E0-825B-43D3-BCFC-F61448A61F55}" name="19 Average OG" dataDxfId="14" totalsRowDxfId="15">
      <calculatedColumnFormula>(K2+L2)/2</calculatedColumnFormula>
    </tableColumn>
    <tableColumn id="19" xr3:uid="{249D6C87-CFC6-4E12-AEE5-59167D9A8050}" name="20 Average FG" dataDxfId="12" totalsRowDxfId="13">
      <calculatedColumnFormula>(M2+N2)/2</calculatedColumnFormula>
    </tableColumn>
    <tableColumn id="20" xr3:uid="{21D1A3D6-F9A0-4F0F-A43A-C1D0B70F43FB}" name="21 Average IBU" dataDxfId="10" totalsRowDxfId="11">
      <calculatedColumnFormula>(O2+P2)/2</calculatedColumnFormula>
    </tableColumn>
    <tableColumn id="21" xr3:uid="{B2FCF19D-EC65-4150-9CD5-393CE620EDAB}" name="22 IBU To OG Ratio for Average IBU and OG" dataDxfId="8" totalsRowDxfId="9">
      <calculatedColumnFormula>ROUND((U2/(S2*1000-1000)),2)</calculatedColumnFormula>
    </tableColumn>
    <tableColumn id="1" xr3:uid="{D6BFFFCA-723F-40C3-80C5-5772E2CDFB17}" name="23 Max IBU to OG" dataDxfId="6" totalsRowDxfId="7">
      <calculatedColumnFormula>ROUND((P2/(K2*1000-1000)),2)</calculatedColumnFormula>
    </tableColumn>
    <tableColumn id="3" xr3:uid="{6B562197-9B13-44F5-9A77-644EF0A4B800}" name="24 Min IBU to OG" dataDxfId="4" totalsRowDxfId="5">
      <calculatedColumnFormula>ROUND((O2/(L2*1000-1000)),2)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B3DE653-8F98-4738-898D-F7ADE00222B2}" name="Table5" displayName="Table5" ref="A1:AE37" totalsRowShown="0" headerRowDxfId="87" dataDxfId="85" headerRowBorderDxfId="86" tableBorderDxfId="84">
  <autoFilter ref="A1:AE37" xr:uid="{A7991C20-CD38-4E0F-B7D9-4AB84F465CD3}"/>
  <tableColumns count="31">
    <tableColumn id="1" xr3:uid="{B4B83930-B8EA-4DD5-896D-34381F852B68}" name="Column1" dataDxfId="83"/>
    <tableColumn id="2" xr3:uid="{279E9784-CC1C-4128-8B8A-2F82E5AA0518}" name="1" dataDxfId="82"/>
    <tableColumn id="3" xr3:uid="{57094F26-8B5A-41F4-A721-3C637ED9FD3E}" name="2" dataDxfId="81"/>
    <tableColumn id="4" xr3:uid="{306002EF-A712-4624-A1B9-91AD2FD7A0C7}" name="3" dataDxfId="80"/>
    <tableColumn id="5" xr3:uid="{E375CE59-0953-4FFA-965C-111A0719F6B0}" name="4" dataDxfId="79"/>
    <tableColumn id="6" xr3:uid="{215C3A62-CBF9-437F-8EDD-6819A8B863AF}" name="5" dataDxfId="78"/>
    <tableColumn id="7" xr3:uid="{B71640C6-5350-4AE0-8F98-63DFCA98BF69}" name="6" dataDxfId="77"/>
    <tableColumn id="8" xr3:uid="{C588748F-D10C-446F-BB2B-95DB6319EB2B}" name="7" dataDxfId="76"/>
    <tableColumn id="9" xr3:uid="{9349B4CB-2243-4B56-AE72-EDABD668E477}" name="8" dataDxfId="75"/>
    <tableColumn id="10" xr3:uid="{DB9B474F-3997-4BDE-9301-DE7B915206D2}" name="9" dataDxfId="74"/>
    <tableColumn id="11" xr3:uid="{D3BE71AC-30C6-47B9-80A7-EB0FF5DE6F90}" name="10" dataDxfId="73"/>
    <tableColumn id="12" xr3:uid="{B6A1A194-17C4-487F-A07D-2BEFDC46F23D}" name="11" dataDxfId="72"/>
    <tableColumn id="13" xr3:uid="{456CFEAB-DC79-415C-931F-CDA7051E5828}" name="12" dataDxfId="71"/>
    <tableColumn id="14" xr3:uid="{898C6C0A-8ACD-491C-BDD1-DB18B0774DE5}" name="13" dataDxfId="70"/>
    <tableColumn id="15" xr3:uid="{096CC669-61CE-4845-969A-02EFC28F1050}" name="14" dataDxfId="69"/>
    <tableColumn id="16" xr3:uid="{32A4EFDC-EA1D-453E-A1A8-758BD824E798}" name="15" dataDxfId="68"/>
    <tableColumn id="17" xr3:uid="{FC2BC8DC-B4A8-4962-9CDE-5604C04B7D0C}" name="16" dataDxfId="67"/>
    <tableColumn id="18" xr3:uid="{F51A45A0-FFEF-4FEF-B478-200186E06D4F}" name="17" dataDxfId="66"/>
    <tableColumn id="19" xr3:uid="{B3178E0A-A86C-4F5F-97B1-8E03F97731D0}" name="18" dataDxfId="65"/>
    <tableColumn id="20" xr3:uid="{E1EE6DCE-93DD-43B3-93FA-79FEC73BEC33}" name="19" dataDxfId="64"/>
    <tableColumn id="21" xr3:uid="{B5C1A3C3-D0E7-4B3E-B49D-262A8EFFF690}" name="20" dataDxfId="63"/>
    <tableColumn id="22" xr3:uid="{DAB0638E-D6E8-40F4-A874-BC59C320DAFE}" name="21" dataDxfId="62"/>
    <tableColumn id="23" xr3:uid="{08FF2E4E-7A6A-457E-8BE1-D98592D4311B}" name="22" dataDxfId="61"/>
    <tableColumn id="24" xr3:uid="{F6D167F3-600D-40CF-B3B1-112DA69AF8A2}" name="23" dataDxfId="60"/>
    <tableColumn id="25" xr3:uid="{B019E54E-79B8-49D0-834B-F56110391438}" name="24" dataDxfId="59"/>
    <tableColumn id="26" xr3:uid="{05EE4DA0-2836-4918-BE57-CEFBA0E6A630}" name="25" dataDxfId="58"/>
    <tableColumn id="27" xr3:uid="{F034D942-C5E0-4E98-A1B9-07E241E5B83C}" name="26" dataDxfId="57"/>
    <tableColumn id="28" xr3:uid="{77151889-2A02-46DF-8649-1366BBC362C0}" name="27" dataDxfId="56"/>
    <tableColumn id="29" xr3:uid="{A80669E4-BB17-44B6-9281-027B4E63489A}" name="28" dataDxfId="55"/>
    <tableColumn id="30" xr3:uid="{C816479F-D6F3-4899-84BF-337F341135FB}" name="29" dataDxfId="54"/>
    <tableColumn id="31" xr3:uid="{018015B6-8693-4DF3-AEA0-DF81D2382008}" name="30" dataDxfId="5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CA64AC-7DCB-497B-BDD3-DB0AAF78B3EA}" name="Table1" displayName="Table1" ref="A1:C22" totalsRowShown="0">
  <autoFilter ref="A1:C22" xr:uid="{7E84FFE5-0908-43DB-B21E-262268616981}"/>
  <tableColumns count="3">
    <tableColumn id="1" xr3:uid="{0AF8DC07-0C26-4520-BCA6-6B1646C5A635}" name="Name"/>
    <tableColumn id="2" xr3:uid="{6CEE2585-F4DD-4F69-8813-721322BD505D}" name="PPG"/>
    <tableColumn id="3" xr3:uid="{E7883569-035D-4374-A5E1-48ABBBD64F78}" name="L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53F50BC-A3D6-427F-B417-1E85C2C78F08}" name="Table2" displayName="Table2" ref="F1:I32" totalsRowShown="0">
  <autoFilter ref="F1:I32" xr:uid="{CDA60344-1756-41AD-81A3-5225F872197F}"/>
  <sortState xmlns:xlrd2="http://schemas.microsoft.com/office/spreadsheetml/2017/richdata2" ref="F2:I32">
    <sortCondition ref="F1:F32"/>
  </sortState>
  <tableColumns count="4">
    <tableColumn id="1" xr3:uid="{C53E90DE-9E92-457E-832E-370CCD00B4CB}" name="Name"/>
    <tableColumn id="2" xr3:uid="{8C14FCF8-E96B-4F2D-AB3F-A9D90C71FD20}" name="PPG"/>
    <tableColumn id="3" xr3:uid="{E34832A9-26F1-4631-8950-DE7FCE699F1F}" name="L"/>
    <tableColumn id="4" xr3:uid="{5B620176-B858-46D7-82E6-D99038AA0B18}" name="Guess?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BFDB643-88AB-48B7-8B78-EF84B1C32592}" name="Table7" displayName="Table7" ref="K4:M6" totalsRowShown="0">
  <autoFilter ref="K4:M6" xr:uid="{BF637341-DC0B-4FE7-BED7-5DDC12EDB5EC}"/>
  <tableColumns count="3">
    <tableColumn id="1" xr3:uid="{0207D2D8-21DD-4ABC-8975-22762F039B60}" name="Name"/>
    <tableColumn id="2" xr3:uid="{08058302-E52F-4F71-BB77-F66EE233DF99}" name="PPG"/>
    <tableColumn id="3" xr3:uid="{3E455BEB-D2BB-41C0-8084-6165DEE27C3E}" name="L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96EBEF-0169-4666-AB37-41CC49A35426}" name="Table3" displayName="Table3" ref="A1:F12" totalsRowShown="0">
  <autoFilter ref="A1:F12" xr:uid="{BCCB0F32-4C32-420A-A15F-F17644761205}"/>
  <tableColumns count="6">
    <tableColumn id="1" xr3:uid="{A33EA01C-4BD6-4C9C-B224-3CC3380CDB4C}" name="Name"/>
    <tableColumn id="2" xr3:uid="{31AD975E-D28D-41E5-92CF-DB7EBA3E6BFF}" name="Attenuation" dataDxfId="52" dataCellStyle="Percent"/>
    <tableColumn id="3" xr3:uid="{5655B01E-3BAD-454E-A0ED-535F15DB7E21}" name="Flocculation"/>
    <tableColumn id="4" xr3:uid="{5F551306-2E45-420E-BA67-E791D1A3E44F}" name="ABV tolerance" dataDxfId="51" dataCellStyle="Percent"/>
    <tableColumn id="5" xr3:uid="{1634FACC-9BAF-4EE7-9937-CC428EFF9738}" name="Temp Lo"/>
    <tableColumn id="6" xr3:uid="{9FCFCC04-2E8B-46A9-8496-50D399EAAFA7}" name="Temp Hi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EF9DD91-A409-439F-A5E5-7EFEC40C0EAA}" name="Table4" displayName="Table4" ref="B1:F303" totalsRowShown="0">
  <autoFilter ref="B1:F303" xr:uid="{1C0894A3-F11F-489C-9132-67F180313226}"/>
  <tableColumns count="5">
    <tableColumn id="1" xr3:uid="{DDA46A2D-72E8-44D4-A394-78574002967E}" name="SRM"/>
    <tableColumn id="2" xr3:uid="{9DA89D98-69B3-439F-887E-76B6B33019BF}" name="R"/>
    <tableColumn id="3" xr3:uid="{18245DAD-D4F7-49F7-8A8D-7319F12A7AAC}" name="G"/>
    <tableColumn id="4" xr3:uid="{1F01CFCB-1C08-49C4-871B-4512CCEFAEFC}" name="B" dataDxfId="50"/>
    <tableColumn id="5" xr3:uid="{74F2F466-7CB0-4E31-A62F-53C4AE4BB8C8}" name="Descrip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craftbeer.com/wp-content/uploads/2014/12/craftbeerdotcom-beer-styles.pdf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E6AB2-E3A8-4F9F-93C8-772B30081BD9}">
  <sheetPr codeName="Sheet3"/>
  <dimension ref="A1:H84"/>
  <sheetViews>
    <sheetView tabSelected="1" view="pageLayout" topLeftCell="A31" zoomScaleNormal="100" workbookViewId="0">
      <selection activeCell="A44" sqref="A44"/>
    </sheetView>
  </sheetViews>
  <sheetFormatPr defaultColWidth="9.140625" defaultRowHeight="15" x14ac:dyDescent="0.25"/>
  <cols>
    <col min="2" max="2" width="6.42578125" customWidth="1"/>
    <col min="3" max="3" width="19" bestFit="1" customWidth="1"/>
    <col min="5" max="5" width="9" customWidth="1"/>
    <col min="6" max="6" width="7.140625" customWidth="1"/>
    <col min="7" max="7" width="10.7109375" customWidth="1"/>
    <col min="8" max="8" width="20.42578125" customWidth="1"/>
    <col min="9" max="9" width="9" customWidth="1"/>
    <col min="10" max="10" width="16.28515625" bestFit="1" customWidth="1"/>
    <col min="12" max="12" width="10.7109375" bestFit="1" customWidth="1"/>
    <col min="13" max="13" width="11" bestFit="1" customWidth="1"/>
    <col min="14" max="14" width="9.28515625" bestFit="1" customWidth="1"/>
  </cols>
  <sheetData>
    <row r="1" spans="1:8" ht="24" thickBot="1" x14ac:dyDescent="0.4">
      <c r="A1" s="43" t="s">
        <v>144</v>
      </c>
      <c r="C1" s="23"/>
      <c r="D1" s="41" t="s">
        <v>191</v>
      </c>
      <c r="H1" s="76" t="str">
        <f>myRGB(Color!H2,Color!I2,Color!J2)</f>
        <v/>
      </c>
    </row>
    <row r="2" spans="1:8" x14ac:dyDescent="0.25">
      <c r="B2" t="s">
        <v>368</v>
      </c>
      <c r="C2" s="1" t="s">
        <v>244</v>
      </c>
      <c r="D2" s="5" t="s">
        <v>369</v>
      </c>
      <c r="G2" s="6" t="s">
        <v>145</v>
      </c>
      <c r="H2" t="str">
        <f>Color!G4</f>
        <v>Pale Gold</v>
      </c>
    </row>
    <row r="3" spans="1:8" x14ac:dyDescent="0.25">
      <c r="B3" s="6" t="s">
        <v>122</v>
      </c>
      <c r="C3" s="7">
        <f>D46</f>
        <v>1.042</v>
      </c>
      <c r="D3" s="7">
        <f>VLOOKUP($C$2,Table27[],"19",FALSE)</f>
        <v>1.0485</v>
      </c>
      <c r="G3" s="6" t="s">
        <v>146</v>
      </c>
      <c r="H3" s="26"/>
    </row>
    <row r="4" spans="1:8" x14ac:dyDescent="0.25">
      <c r="B4" s="6" t="s">
        <v>53</v>
      </c>
      <c r="C4" s="4">
        <f>SUM(F71:F76)</f>
        <v>17.869081510532958</v>
      </c>
      <c r="D4" s="4">
        <f>VLOOKUP($C$2,Table27[],"21",FALSE)</f>
        <v>14</v>
      </c>
      <c r="G4" s="6" t="s">
        <v>147</v>
      </c>
      <c r="H4" s="26"/>
    </row>
    <row r="5" spans="1:8" x14ac:dyDescent="0.25">
      <c r="B5" s="6" t="s">
        <v>123</v>
      </c>
      <c r="C5" s="4">
        <f>1.4922*(SUM(H51:H56,H63:H68)^0.6859)</f>
        <v>4.3761318685139647</v>
      </c>
      <c r="D5" s="4">
        <f>VLOOKUP($C$2,Table27[],"17",FALSE)</f>
        <v>3.75</v>
      </c>
      <c r="G5" s="6" t="s">
        <v>148</v>
      </c>
      <c r="H5" s="26"/>
    </row>
    <row r="6" spans="1:8" x14ac:dyDescent="0.25">
      <c r="B6" s="6" t="s">
        <v>124</v>
      </c>
      <c r="C6" s="7">
        <f>(1-E38)*(D47-1)+1+(D46-D47)</f>
        <v>1.0079800000000001</v>
      </c>
      <c r="D6" s="7">
        <f>VLOOKUP($C$2,Table27[],"20",FALSE)</f>
        <v>1.0089999999999999</v>
      </c>
      <c r="G6" s="6" t="s">
        <v>149</v>
      </c>
      <c r="H6" s="26"/>
    </row>
    <row r="7" spans="1:8" x14ac:dyDescent="0.25">
      <c r="B7" s="6" t="s">
        <v>125</v>
      </c>
      <c r="C7" s="22">
        <f>(D46-C6)*1.3125</f>
        <v>4.465124999999992E-2</v>
      </c>
      <c r="D7" s="22">
        <f>VLOOKUP($C$2,Table27[],"18",FALSE)</f>
        <v>4.8999999999999998E-4</v>
      </c>
      <c r="G7" s="6" t="s">
        <v>150</v>
      </c>
      <c r="H7" s="26"/>
    </row>
    <row r="8" spans="1:8" x14ac:dyDescent="0.25">
      <c r="B8" s="6" t="s">
        <v>126</v>
      </c>
      <c r="C8" s="14">
        <f>C4/(1000*(C3-0.999999999999999))</f>
        <v>0.4254543216793456</v>
      </c>
      <c r="D8" s="14">
        <f>VLOOKUP($C$2,Table27[],"22",FALSE)</f>
        <v>0.28999999999999998</v>
      </c>
      <c r="G8" s="26"/>
      <c r="H8" s="26"/>
    </row>
    <row r="9" spans="1:8" ht="23.25" x14ac:dyDescent="0.35">
      <c r="A9" s="43" t="s">
        <v>143</v>
      </c>
    </row>
    <row r="10" spans="1:8" x14ac:dyDescent="0.25">
      <c r="A10" t="s">
        <v>4</v>
      </c>
      <c r="B10" s="1">
        <v>5</v>
      </c>
      <c r="C10" t="s">
        <v>5</v>
      </c>
    </row>
    <row r="11" spans="1:8" x14ac:dyDescent="0.25">
      <c r="A11" t="s">
        <v>6</v>
      </c>
      <c r="B11" s="1">
        <v>3</v>
      </c>
      <c r="C11" t="s">
        <v>5</v>
      </c>
    </row>
    <row r="13" spans="1:8" x14ac:dyDescent="0.25">
      <c r="A13" s="9" t="s">
        <v>8</v>
      </c>
      <c r="D13" t="s">
        <v>27</v>
      </c>
      <c r="F13" s="9" t="s">
        <v>83</v>
      </c>
    </row>
    <row r="14" spans="1:8" x14ac:dyDescent="0.25">
      <c r="A14" s="1">
        <v>6</v>
      </c>
      <c r="B14" s="11" t="s">
        <v>1</v>
      </c>
      <c r="C14" s="1" t="s">
        <v>14</v>
      </c>
      <c r="D14" s="1" t="s">
        <v>28</v>
      </c>
      <c r="F14" s="1">
        <v>0</v>
      </c>
      <c r="G14" s="11" t="s">
        <v>1</v>
      </c>
      <c r="H14" s="1" t="s">
        <v>28</v>
      </c>
    </row>
    <row r="15" spans="1:8" x14ac:dyDescent="0.25">
      <c r="A15" s="1">
        <v>0</v>
      </c>
      <c r="B15" s="11" t="s">
        <v>1</v>
      </c>
      <c r="C15" s="1" t="s">
        <v>28</v>
      </c>
      <c r="D15" s="1" t="s">
        <v>28</v>
      </c>
      <c r="F15" s="1">
        <v>0</v>
      </c>
      <c r="G15" s="11" t="s">
        <v>1</v>
      </c>
      <c r="H15" s="1" t="s">
        <v>28</v>
      </c>
    </row>
    <row r="16" spans="1:8" x14ac:dyDescent="0.25">
      <c r="A16" s="1">
        <v>0</v>
      </c>
      <c r="B16" s="11" t="s">
        <v>1</v>
      </c>
      <c r="C16" s="1" t="s">
        <v>28</v>
      </c>
      <c r="D16" s="1" t="s">
        <v>28</v>
      </c>
      <c r="F16" s="1">
        <v>0</v>
      </c>
      <c r="G16" s="11" t="s">
        <v>1</v>
      </c>
      <c r="H16" s="1" t="s">
        <v>28</v>
      </c>
    </row>
    <row r="17" spans="1:8" x14ac:dyDescent="0.25">
      <c r="A17" s="1">
        <v>0</v>
      </c>
      <c r="B17" s="11" t="s">
        <v>1</v>
      </c>
      <c r="C17" s="1" t="s">
        <v>28</v>
      </c>
      <c r="D17" s="1" t="s">
        <v>28</v>
      </c>
      <c r="F17" s="1">
        <v>0</v>
      </c>
      <c r="G17" s="11" t="s">
        <v>1</v>
      </c>
      <c r="H17" s="1" t="s">
        <v>28</v>
      </c>
    </row>
    <row r="18" spans="1:8" x14ac:dyDescent="0.25">
      <c r="A18" s="1">
        <v>0</v>
      </c>
      <c r="B18" s="11" t="s">
        <v>1</v>
      </c>
      <c r="C18" s="1" t="s">
        <v>28</v>
      </c>
      <c r="D18" s="1" t="s">
        <v>28</v>
      </c>
      <c r="F18" s="1">
        <v>0</v>
      </c>
      <c r="G18" s="11" t="s">
        <v>1</v>
      </c>
      <c r="H18" s="1" t="s">
        <v>28</v>
      </c>
    </row>
    <row r="19" spans="1:8" x14ac:dyDescent="0.25">
      <c r="A19" s="1">
        <v>0</v>
      </c>
      <c r="B19" s="11" t="s">
        <v>1</v>
      </c>
      <c r="C19" s="1" t="s">
        <v>28</v>
      </c>
      <c r="D19" s="1" t="s">
        <v>28</v>
      </c>
      <c r="F19" s="1">
        <v>0</v>
      </c>
      <c r="G19" s="11" t="s">
        <v>1</v>
      </c>
      <c r="H19" s="1" t="s">
        <v>28</v>
      </c>
    </row>
    <row r="20" spans="1:8" x14ac:dyDescent="0.25">
      <c r="A20" s="3">
        <f>SUM(A14:A19)</f>
        <v>6</v>
      </c>
      <c r="B20" s="5" t="s">
        <v>1</v>
      </c>
      <c r="C20" s="5" t="s">
        <v>2</v>
      </c>
      <c r="F20" s="14">
        <f>SUM(F14:F19)</f>
        <v>0</v>
      </c>
      <c r="G20" s="5" t="s">
        <v>1</v>
      </c>
      <c r="H20" s="5" t="s">
        <v>2</v>
      </c>
    </row>
    <row r="22" spans="1:8" x14ac:dyDescent="0.25">
      <c r="A22" s="9" t="s">
        <v>237</v>
      </c>
    </row>
    <row r="23" spans="1:8" x14ac:dyDescent="0.25">
      <c r="A23" s="1">
        <v>0</v>
      </c>
      <c r="B23" s="11" t="s">
        <v>1</v>
      </c>
      <c r="C23" s="1" t="s">
        <v>28</v>
      </c>
      <c r="D23" s="1" t="s">
        <v>28</v>
      </c>
    </row>
    <row r="27" spans="1:8" ht="20.25" x14ac:dyDescent="0.25">
      <c r="A27" s="44" t="s">
        <v>30</v>
      </c>
      <c r="B27" s="11"/>
      <c r="C27" s="11" t="s">
        <v>58</v>
      </c>
      <c r="D27" s="11" t="s">
        <v>57</v>
      </c>
      <c r="E27" s="11" t="s">
        <v>7</v>
      </c>
      <c r="F27" s="11" t="s">
        <v>114</v>
      </c>
    </row>
    <row r="28" spans="1:8" x14ac:dyDescent="0.25">
      <c r="A28" s="1">
        <v>1</v>
      </c>
      <c r="B28" s="11" t="s">
        <v>31</v>
      </c>
      <c r="C28" s="1" t="s">
        <v>395</v>
      </c>
      <c r="D28" s="1">
        <v>3</v>
      </c>
      <c r="E28" s="1">
        <v>60</v>
      </c>
      <c r="F28" s="1" t="s">
        <v>396</v>
      </c>
    </row>
    <row r="29" spans="1:8" x14ac:dyDescent="0.25">
      <c r="A29" s="1">
        <v>0</v>
      </c>
      <c r="B29" s="11" t="s">
        <v>31</v>
      </c>
      <c r="C29" s="1"/>
      <c r="D29" s="1">
        <v>0</v>
      </c>
      <c r="E29" s="1">
        <v>0</v>
      </c>
      <c r="F29" s="1" t="s">
        <v>28</v>
      </c>
    </row>
    <row r="30" spans="1:8" x14ac:dyDescent="0.25">
      <c r="A30" s="1">
        <v>0</v>
      </c>
      <c r="B30" s="11" t="s">
        <v>31</v>
      </c>
      <c r="C30" s="1"/>
      <c r="D30" s="1">
        <v>0</v>
      </c>
      <c r="E30" s="1">
        <v>0</v>
      </c>
      <c r="F30" s="1" t="s">
        <v>28</v>
      </c>
    </row>
    <row r="31" spans="1:8" x14ac:dyDescent="0.25">
      <c r="A31" s="1">
        <v>0</v>
      </c>
      <c r="B31" s="11" t="s">
        <v>31</v>
      </c>
      <c r="C31" s="1"/>
      <c r="D31" s="1">
        <v>0</v>
      </c>
      <c r="E31" s="1">
        <v>0</v>
      </c>
      <c r="F31" s="1" t="s">
        <v>28</v>
      </c>
    </row>
    <row r="32" spans="1:8" x14ac:dyDescent="0.25">
      <c r="A32" s="1">
        <v>0</v>
      </c>
      <c r="B32" s="11" t="s">
        <v>31</v>
      </c>
      <c r="C32" s="1"/>
      <c r="D32" s="1">
        <v>0</v>
      </c>
      <c r="E32" s="1">
        <v>0</v>
      </c>
      <c r="F32" s="1" t="s">
        <v>28</v>
      </c>
    </row>
    <row r="33" spans="1:6" x14ac:dyDescent="0.25">
      <c r="A33" s="1">
        <v>0</v>
      </c>
      <c r="B33" s="11" t="s">
        <v>31</v>
      </c>
      <c r="C33" s="1"/>
      <c r="D33" s="1">
        <v>0</v>
      </c>
      <c r="E33" s="1">
        <v>0</v>
      </c>
      <c r="F33" s="1" t="s">
        <v>28</v>
      </c>
    </row>
    <row r="34" spans="1:6" x14ac:dyDescent="0.25">
      <c r="A34" s="14">
        <f>SUM(A28:A33)</f>
        <v>1</v>
      </c>
      <c r="B34" s="5" t="s">
        <v>31</v>
      </c>
      <c r="C34" s="5" t="s">
        <v>2</v>
      </c>
    </row>
    <row r="36" spans="1:6" x14ac:dyDescent="0.25">
      <c r="A36" s="9" t="s">
        <v>86</v>
      </c>
    </row>
    <row r="37" spans="1:6" x14ac:dyDescent="0.25">
      <c r="A37" s="1">
        <v>11.5</v>
      </c>
      <c r="B37" s="11" t="s">
        <v>106</v>
      </c>
      <c r="C37" s="1" t="s">
        <v>87</v>
      </c>
      <c r="E37" s="19" t="str">
        <f>VLOOKUP($C37,Yeast!$A$2:$F$1000,3,FALSE)</f>
        <v>Medium</v>
      </c>
      <c r="F37" s="23" t="s">
        <v>99</v>
      </c>
    </row>
    <row r="38" spans="1:6" x14ac:dyDescent="0.25">
      <c r="A38" s="1">
        <v>0.75</v>
      </c>
      <c r="B38" t="s">
        <v>235</v>
      </c>
      <c r="E38" s="20">
        <f>VLOOKUP($C37,Yeast!$A$2:$F$1000,2,FALSE)</f>
        <v>0.81</v>
      </c>
      <c r="F38" s="23" t="s">
        <v>107</v>
      </c>
    </row>
    <row r="39" spans="1:6" x14ac:dyDescent="0.25">
      <c r="A39" s="2">
        <v>18</v>
      </c>
      <c r="B39" t="s">
        <v>117</v>
      </c>
      <c r="E39" s="19">
        <f>VLOOKUP($C37,Yeast!$A$2:$F$1000,5,FALSE)</f>
        <v>54</v>
      </c>
      <c r="F39" s="23" t="s">
        <v>108</v>
      </c>
    </row>
    <row r="40" spans="1:6" x14ac:dyDescent="0.25">
      <c r="A40" s="9" t="str">
        <f>IF(B84&lt;A38, "Starter Required", "No Starter Needed")</f>
        <v>No Starter Needed</v>
      </c>
      <c r="E40" s="19">
        <f>VLOOKUP($C37,Yeast!$A$2:$F$1000,6,FALSE)</f>
        <v>77</v>
      </c>
      <c r="F40" s="23" t="s">
        <v>109</v>
      </c>
    </row>
    <row r="41" spans="1:6" x14ac:dyDescent="0.25">
      <c r="E41" s="21">
        <f>VLOOKUP($C37,Yeast!$A$2:$F$1000,4,FALSE)</f>
        <v>9.5000000000000001E-2</v>
      </c>
      <c r="F41" s="23" t="s">
        <v>121</v>
      </c>
    </row>
    <row r="42" spans="1:6" ht="18" x14ac:dyDescent="0.35">
      <c r="A42" s="45" t="s">
        <v>196</v>
      </c>
    </row>
    <row r="43" spans="1:6" ht="18" x14ac:dyDescent="0.35">
      <c r="A43" s="1">
        <v>2.5</v>
      </c>
      <c r="B43" t="s">
        <v>195</v>
      </c>
    </row>
    <row r="44" spans="1:6" x14ac:dyDescent="0.25">
      <c r="A44" s="1">
        <v>40</v>
      </c>
      <c r="B44" t="s">
        <v>198</v>
      </c>
    </row>
    <row r="45" spans="1:6" x14ac:dyDescent="0.25">
      <c r="A45" s="14">
        <f>'CO2'!AH9</f>
        <v>12.333333333333332</v>
      </c>
      <c r="B45" t="s">
        <v>197</v>
      </c>
    </row>
    <row r="46" spans="1:6" x14ac:dyDescent="0.25">
      <c r="C46" t="s">
        <v>32</v>
      </c>
      <c r="D46" s="7">
        <f>1+(E58+SUM(E51:E56,E63:E68))/1000</f>
        <v>1.042</v>
      </c>
    </row>
    <row r="47" spans="1:6" x14ac:dyDescent="0.25">
      <c r="C47" t="s">
        <v>236</v>
      </c>
      <c r="D47" s="7">
        <f>1+SUM(E51:E56,E63:E68)/1000</f>
        <v>1.042</v>
      </c>
    </row>
    <row r="48" spans="1:6" x14ac:dyDescent="0.25">
      <c r="C48" t="s">
        <v>33</v>
      </c>
      <c r="D48" s="7">
        <f>1+SUM(F51:F56,F63:F68)/1000</f>
        <v>1</v>
      </c>
    </row>
    <row r="49" spans="2:8" x14ac:dyDescent="0.25">
      <c r="B49" s="9" t="s">
        <v>8</v>
      </c>
    </row>
    <row r="50" spans="2:8" x14ac:dyDescent="0.25">
      <c r="D50" s="5" t="s">
        <v>3</v>
      </c>
      <c r="E50" s="5" t="s">
        <v>84</v>
      </c>
      <c r="F50" s="5" t="s">
        <v>85</v>
      </c>
      <c r="G50" s="5" t="s">
        <v>9</v>
      </c>
      <c r="H50" s="5" t="s">
        <v>26</v>
      </c>
    </row>
    <row r="51" spans="2:8" x14ac:dyDescent="0.25">
      <c r="B51" t="str">
        <f t="shared" ref="B51:B56" si="0">IF(C14="&lt;Select&gt;","None",C14)</f>
        <v>LME - Light/Pale</v>
      </c>
      <c r="D51" s="4">
        <f>VLOOKUP($C14,Table1[],2,FALSE)</f>
        <v>35</v>
      </c>
      <c r="E51" s="4">
        <f t="shared" ref="E51:E56" si="1">A14*D51/$B$10</f>
        <v>42</v>
      </c>
      <c r="F51" s="4">
        <f t="shared" ref="F51:F56" si="2">IF(D14="No",A14*D51/$B$11,0)</f>
        <v>0</v>
      </c>
      <c r="G51" s="4">
        <f>VLOOKUP(C14,Table1[],3,FALSE)</f>
        <v>4</v>
      </c>
      <c r="H51" s="4">
        <f t="shared" ref="H51:H56" si="3">A14*G51/$B$10</f>
        <v>4.8</v>
      </c>
    </row>
    <row r="52" spans="2:8" x14ac:dyDescent="0.25">
      <c r="B52" t="str">
        <f t="shared" si="0"/>
        <v>None</v>
      </c>
      <c r="D52" s="4">
        <f>VLOOKUP($C15,Table1[],2,FALSE)</f>
        <v>0</v>
      </c>
      <c r="E52" s="4">
        <f t="shared" si="1"/>
        <v>0</v>
      </c>
      <c r="F52" s="4">
        <f t="shared" si="2"/>
        <v>0</v>
      </c>
      <c r="G52" s="4">
        <f>VLOOKUP(C15,Table1[],3,FALSE)</f>
        <v>0</v>
      </c>
      <c r="H52" s="4">
        <f t="shared" si="3"/>
        <v>0</v>
      </c>
    </row>
    <row r="53" spans="2:8" x14ac:dyDescent="0.25">
      <c r="B53" t="str">
        <f t="shared" si="0"/>
        <v>None</v>
      </c>
      <c r="D53" s="4">
        <f>VLOOKUP($C16,Table1[],2,FALSE)</f>
        <v>0</v>
      </c>
      <c r="E53" s="4">
        <f t="shared" si="1"/>
        <v>0</v>
      </c>
      <c r="F53" s="4">
        <f t="shared" si="2"/>
        <v>0</v>
      </c>
      <c r="G53" s="4">
        <f>VLOOKUP(C16,Table1[],3,FALSE)</f>
        <v>0</v>
      </c>
      <c r="H53" s="4">
        <f t="shared" si="3"/>
        <v>0</v>
      </c>
    </row>
    <row r="54" spans="2:8" x14ac:dyDescent="0.25">
      <c r="B54" t="str">
        <f t="shared" si="0"/>
        <v>None</v>
      </c>
      <c r="D54" s="4">
        <f>VLOOKUP($C17,Table1[],2,FALSE)</f>
        <v>0</v>
      </c>
      <c r="E54" s="4">
        <f t="shared" si="1"/>
        <v>0</v>
      </c>
      <c r="F54" s="4">
        <f t="shared" si="2"/>
        <v>0</v>
      </c>
      <c r="G54" s="4">
        <f>VLOOKUP(C17,Table1[],3,FALSE)</f>
        <v>0</v>
      </c>
      <c r="H54" s="4">
        <f t="shared" si="3"/>
        <v>0</v>
      </c>
    </row>
    <row r="55" spans="2:8" x14ac:dyDescent="0.25">
      <c r="B55" t="str">
        <f t="shared" si="0"/>
        <v>None</v>
      </c>
      <c r="D55" s="4">
        <f>VLOOKUP($C18,Table1[],2,FALSE)</f>
        <v>0</v>
      </c>
      <c r="E55" s="4">
        <f t="shared" si="1"/>
        <v>0</v>
      </c>
      <c r="F55" s="4">
        <f t="shared" si="2"/>
        <v>0</v>
      </c>
      <c r="G55" s="4">
        <f>VLOOKUP(C18,Table1[],3,FALSE)</f>
        <v>0</v>
      </c>
      <c r="H55" s="4">
        <f t="shared" si="3"/>
        <v>0</v>
      </c>
    </row>
    <row r="56" spans="2:8" x14ac:dyDescent="0.25">
      <c r="B56" t="str">
        <f t="shared" si="0"/>
        <v>None</v>
      </c>
      <c r="D56" s="4">
        <f>VLOOKUP($C19,Table1[],2,FALSE)</f>
        <v>0</v>
      </c>
      <c r="E56" s="4">
        <f t="shared" si="1"/>
        <v>0</v>
      </c>
      <c r="F56" s="4">
        <f t="shared" si="2"/>
        <v>0</v>
      </c>
      <c r="G56" s="4">
        <f>VLOOKUP(C19,Table1[],3,FALSE)</f>
        <v>0</v>
      </c>
      <c r="H56" s="4">
        <f t="shared" si="3"/>
        <v>0</v>
      </c>
    </row>
    <row r="57" spans="2:8" x14ac:dyDescent="0.25">
      <c r="B57" s="9" t="s">
        <v>238</v>
      </c>
    </row>
    <row r="58" spans="2:8" x14ac:dyDescent="0.25">
      <c r="B58" t="str">
        <f>C23</f>
        <v>&lt;Select&gt;</v>
      </c>
      <c r="D58" s="4">
        <f>VLOOKUP($C23,Table7[],2,FALSE)</f>
        <v>0</v>
      </c>
      <c r="E58" s="4">
        <f>A23*D58/$B$10</f>
        <v>0</v>
      </c>
      <c r="F58" s="4">
        <f>IF(D23="No",A23*D58/$B$11,0)</f>
        <v>0</v>
      </c>
      <c r="G58" s="4">
        <f>VLOOKUP(C23,Table7[],3,FALSE)</f>
        <v>0</v>
      </c>
      <c r="H58" s="4">
        <f>A21*G58/$B$10</f>
        <v>0</v>
      </c>
    </row>
    <row r="61" spans="2:8" x14ac:dyDescent="0.25">
      <c r="B61" s="9" t="s">
        <v>119</v>
      </c>
    </row>
    <row r="62" spans="2:8" x14ac:dyDescent="0.25">
      <c r="D62" s="5" t="s">
        <v>3</v>
      </c>
      <c r="E62" s="5" t="s">
        <v>84</v>
      </c>
      <c r="F62" s="5" t="s">
        <v>85</v>
      </c>
      <c r="G62" s="5" t="s">
        <v>9</v>
      </c>
      <c r="H62" s="5" t="s">
        <v>26</v>
      </c>
    </row>
    <row r="63" spans="2:8" x14ac:dyDescent="0.25">
      <c r="B63" t="str">
        <f t="shared" ref="B63:B68" si="4">IF(H14="&lt;Select&gt;","None",H14)</f>
        <v>None</v>
      </c>
      <c r="D63" s="4">
        <f>VLOOKUP($H14,'Fermentables &amp; Specialty Grain'!$F$2:$L$1000,2,FALSE)</f>
        <v>0</v>
      </c>
      <c r="E63" s="4">
        <f t="shared" ref="E63:E68" si="5">F14*D63/$B$10</f>
        <v>0</v>
      </c>
      <c r="F63" s="4">
        <f t="shared" ref="F63:F68" si="6">F14*D63/$B$11</f>
        <v>0</v>
      </c>
      <c r="G63" s="8">
        <f>VLOOKUP($H14,'Fermentables &amp; Specialty Grain'!$F$2:$L$1000,3,FALSE)</f>
        <v>0</v>
      </c>
      <c r="H63" s="4">
        <f t="shared" ref="H63:H68" si="7">F14*G63/$B$10</f>
        <v>0</v>
      </c>
    </row>
    <row r="64" spans="2:8" x14ac:dyDescent="0.25">
      <c r="B64" t="str">
        <f t="shared" si="4"/>
        <v>None</v>
      </c>
      <c r="D64" s="4">
        <f>VLOOKUP($H15,'Fermentables &amp; Specialty Grain'!$F$2:$L$1000,2,FALSE)</f>
        <v>0</v>
      </c>
      <c r="E64" s="4">
        <f t="shared" si="5"/>
        <v>0</v>
      </c>
      <c r="F64" s="4">
        <f t="shared" si="6"/>
        <v>0</v>
      </c>
      <c r="G64" s="8">
        <f>VLOOKUP($H15,'Fermentables &amp; Specialty Grain'!$F$2:$L$1000,3,FALSE)</f>
        <v>0</v>
      </c>
      <c r="H64" s="4">
        <f t="shared" si="7"/>
        <v>0</v>
      </c>
    </row>
    <row r="65" spans="2:8" x14ac:dyDescent="0.25">
      <c r="B65" t="str">
        <f t="shared" si="4"/>
        <v>None</v>
      </c>
      <c r="D65" s="4">
        <f>VLOOKUP($H16,'Fermentables &amp; Specialty Grain'!$F$2:$L$1000,2,FALSE)</f>
        <v>0</v>
      </c>
      <c r="E65" s="4">
        <f t="shared" si="5"/>
        <v>0</v>
      </c>
      <c r="F65" s="4">
        <f t="shared" si="6"/>
        <v>0</v>
      </c>
      <c r="G65" s="8">
        <f>VLOOKUP($H16,'Fermentables &amp; Specialty Grain'!$F$2:$L$1000,3,FALSE)</f>
        <v>0</v>
      </c>
      <c r="H65" s="4">
        <f t="shared" si="7"/>
        <v>0</v>
      </c>
    </row>
    <row r="66" spans="2:8" x14ac:dyDescent="0.25">
      <c r="B66" t="str">
        <f t="shared" si="4"/>
        <v>None</v>
      </c>
      <c r="D66" s="4">
        <f>VLOOKUP($H17,'Fermentables &amp; Specialty Grain'!$F$2:$L$1000,2,FALSE)</f>
        <v>0</v>
      </c>
      <c r="E66" s="4">
        <f t="shared" si="5"/>
        <v>0</v>
      </c>
      <c r="F66" s="4">
        <f t="shared" si="6"/>
        <v>0</v>
      </c>
      <c r="G66" s="8">
        <f>VLOOKUP($H17,'Fermentables &amp; Specialty Grain'!$F$2:$L$1000,3,FALSE)</f>
        <v>0</v>
      </c>
      <c r="H66" s="4">
        <f t="shared" si="7"/>
        <v>0</v>
      </c>
    </row>
    <row r="67" spans="2:8" x14ac:dyDescent="0.25">
      <c r="B67" t="str">
        <f t="shared" si="4"/>
        <v>None</v>
      </c>
      <c r="D67" s="4">
        <f>VLOOKUP($H18,'Fermentables &amp; Specialty Grain'!$F$2:$L$1000,2,FALSE)</f>
        <v>0</v>
      </c>
      <c r="E67" s="4">
        <f t="shared" si="5"/>
        <v>0</v>
      </c>
      <c r="F67" s="4">
        <f t="shared" si="6"/>
        <v>0</v>
      </c>
      <c r="G67" s="8">
        <f>VLOOKUP($H18,'Fermentables &amp; Specialty Grain'!$F$2:$L$1000,3,FALSE)</f>
        <v>0</v>
      </c>
      <c r="H67" s="4">
        <f t="shared" si="7"/>
        <v>0</v>
      </c>
    </row>
    <row r="68" spans="2:8" x14ac:dyDescent="0.25">
      <c r="B68" t="str">
        <f t="shared" si="4"/>
        <v>None</v>
      </c>
      <c r="D68" s="4">
        <f>VLOOKUP($H19,'Fermentables &amp; Specialty Grain'!$F$2:$L$1000,2,FALSE)</f>
        <v>0</v>
      </c>
      <c r="E68" s="4">
        <f t="shared" si="5"/>
        <v>0</v>
      </c>
      <c r="F68" s="4">
        <f t="shared" si="6"/>
        <v>0</v>
      </c>
      <c r="G68" s="8">
        <f>VLOOKUP($H19,'Fermentables &amp; Specialty Grain'!$F$2:$L$1000,3,FALSE)</f>
        <v>0</v>
      </c>
      <c r="H68" s="4">
        <f t="shared" si="7"/>
        <v>0</v>
      </c>
    </row>
    <row r="69" spans="2:8" x14ac:dyDescent="0.25">
      <c r="B69" s="15" t="s">
        <v>30</v>
      </c>
    </row>
    <row r="70" spans="2:8" x14ac:dyDescent="0.25">
      <c r="D70" s="11" t="s">
        <v>35</v>
      </c>
      <c r="E70" s="11" t="s">
        <v>52</v>
      </c>
      <c r="F70" s="11" t="s">
        <v>53</v>
      </c>
    </row>
    <row r="71" spans="2:8" x14ac:dyDescent="0.25">
      <c r="B71" t="str">
        <f t="shared" ref="B71:B76" si="8">C28</f>
        <v>Saaz</v>
      </c>
      <c r="D71" s="16">
        <f>IF(F28="Yes",1.1*'Hop Utilization'!O26,'Hop Utilization'!O26)</f>
        <v>0.39767395536860634</v>
      </c>
      <c r="E71" s="4">
        <f t="shared" ref="E71:E76" si="9">A28*D28</f>
        <v>3</v>
      </c>
      <c r="F71" s="4">
        <f t="shared" ref="F71:F76" si="10">E71*D71*74.89/$B$10</f>
        <v>17.869081510532958</v>
      </c>
    </row>
    <row r="72" spans="2:8" x14ac:dyDescent="0.25">
      <c r="B72">
        <f t="shared" si="8"/>
        <v>0</v>
      </c>
      <c r="D72" s="16">
        <f>IF(F29="Yes",1.1*'Hop Utilization'!O27,'Hop Utilization'!O27)</f>
        <v>0</v>
      </c>
      <c r="E72" s="4">
        <f t="shared" si="9"/>
        <v>0</v>
      </c>
      <c r="F72" s="4">
        <f t="shared" si="10"/>
        <v>0</v>
      </c>
    </row>
    <row r="73" spans="2:8" x14ac:dyDescent="0.25">
      <c r="B73">
        <f t="shared" si="8"/>
        <v>0</v>
      </c>
      <c r="D73" s="16">
        <f>IF(F30="Yes",1.1*'Hop Utilization'!O28,'Hop Utilization'!O28)</f>
        <v>0</v>
      </c>
      <c r="E73" s="4">
        <f t="shared" si="9"/>
        <v>0</v>
      </c>
      <c r="F73" s="4">
        <f t="shared" si="10"/>
        <v>0</v>
      </c>
    </row>
    <row r="74" spans="2:8" x14ac:dyDescent="0.25">
      <c r="B74">
        <f t="shared" si="8"/>
        <v>0</v>
      </c>
      <c r="D74" s="16">
        <f>IF(F31="Yes",1.1*'Hop Utilization'!O29,'Hop Utilization'!O29)</f>
        <v>0</v>
      </c>
      <c r="E74" s="4">
        <f t="shared" si="9"/>
        <v>0</v>
      </c>
      <c r="F74" s="4">
        <f t="shared" si="10"/>
        <v>0</v>
      </c>
    </row>
    <row r="75" spans="2:8" x14ac:dyDescent="0.25">
      <c r="B75">
        <f t="shared" si="8"/>
        <v>0</v>
      </c>
      <c r="D75" s="16">
        <f>IF(F32="Yes",1.1*'Hop Utilization'!O30,'Hop Utilization'!O30)</f>
        <v>0</v>
      </c>
      <c r="E75" s="4">
        <f t="shared" si="9"/>
        <v>0</v>
      </c>
      <c r="F75" s="4">
        <f t="shared" si="10"/>
        <v>0</v>
      </c>
    </row>
    <row r="76" spans="2:8" x14ac:dyDescent="0.25">
      <c r="B76">
        <f t="shared" si="8"/>
        <v>0</v>
      </c>
      <c r="D76" s="16">
        <f>IF(F33="Yes",1.1*'Hop Utilization'!O31,'Hop Utilization'!O31)</f>
        <v>0</v>
      </c>
      <c r="E76" s="4">
        <f t="shared" si="9"/>
        <v>0</v>
      </c>
      <c r="F76" s="4">
        <f t="shared" si="10"/>
        <v>0</v>
      </c>
    </row>
    <row r="78" spans="2:8" x14ac:dyDescent="0.25">
      <c r="B78" s="9" t="s">
        <v>86</v>
      </c>
      <c r="F78" s="9" t="s">
        <v>368</v>
      </c>
      <c r="G78" t="s">
        <v>370</v>
      </c>
      <c r="H78" t="s">
        <v>371</v>
      </c>
    </row>
    <row r="79" spans="2:8" x14ac:dyDescent="0.25">
      <c r="B79" s="14">
        <f>(-1*616.868)+(1111.14*D47)-(630.272*D47^2)+(135.997*D47^3)</f>
        <v>10.475626061735881</v>
      </c>
      <c r="C79" t="s">
        <v>115</v>
      </c>
      <c r="F79" s="6" t="s">
        <v>372</v>
      </c>
      <c r="G79" s="74">
        <f>VLOOKUP($C$2,Table27[],11,FALSE)</f>
        <v>1.042</v>
      </c>
      <c r="H79" s="74">
        <f>VLOOKUP($C$2,Table27[],12,FALSE)</f>
        <v>1.0549999999999999</v>
      </c>
    </row>
    <row r="80" spans="2:8" x14ac:dyDescent="0.25">
      <c r="B80" s="14">
        <f>B10*3.785412</f>
        <v>18.927060000000001</v>
      </c>
      <c r="C80" t="s">
        <v>9</v>
      </c>
      <c r="F80" s="6" t="s">
        <v>53</v>
      </c>
      <c r="G80" s="74">
        <f>VLOOKUP($C$2,Table27[],15,FALSE)</f>
        <v>8</v>
      </c>
      <c r="H80" s="74">
        <f>VLOOKUP($C$2,Table27[],16,FALSE)</f>
        <v>20</v>
      </c>
    </row>
    <row r="81" spans="2:8" x14ac:dyDescent="0.25">
      <c r="B81" s="14">
        <f>A38*B79*B80</f>
        <v>148.70460225602903</v>
      </c>
      <c r="C81" t="s">
        <v>116</v>
      </c>
      <c r="F81" s="6" t="s">
        <v>123</v>
      </c>
      <c r="G81" s="74">
        <f>VLOOKUP($C$2,Table27[],7,FALSE)</f>
        <v>2.5</v>
      </c>
      <c r="H81" s="74">
        <f>VLOOKUP($C$2,Table27[],8,FALSE)</f>
        <v>5</v>
      </c>
    </row>
    <row r="82" spans="2:8" x14ac:dyDescent="0.25">
      <c r="F82" s="6" t="s">
        <v>124</v>
      </c>
      <c r="G82" s="74">
        <f>VLOOKUP($C$2,Table27[],13,FALSE)</f>
        <v>1.006</v>
      </c>
      <c r="H82" s="74">
        <f>VLOOKUP($C$2,Table27[],14,FALSE)</f>
        <v>1.012</v>
      </c>
    </row>
    <row r="83" spans="2:8" x14ac:dyDescent="0.25">
      <c r="B83" s="14">
        <f>A37*A39</f>
        <v>207</v>
      </c>
      <c r="C83" t="s">
        <v>118</v>
      </c>
      <c r="F83" s="6" t="s">
        <v>125</v>
      </c>
      <c r="G83" s="75">
        <f>VLOOKUP($C$2,Table27[],9,FALSE)</f>
        <v>4.2000000000000003E-2</v>
      </c>
      <c r="H83" s="75">
        <f>VLOOKUP($C$2,Table27[],10,FALSE)</f>
        <v>5.5999999999999994E-2</v>
      </c>
    </row>
    <row r="84" spans="2:8" x14ac:dyDescent="0.25">
      <c r="B84" s="14">
        <f>B83/B80/B79</f>
        <v>1.0440161074013132</v>
      </c>
      <c r="C84" t="s">
        <v>120</v>
      </c>
      <c r="F84" s="6" t="s">
        <v>126</v>
      </c>
      <c r="G84" s="74">
        <f>VLOOKUP($C$2,Table27[],24,FALSE)</f>
        <v>0.15</v>
      </c>
      <c r="H84" s="74">
        <f>VLOOKUP($C$2,Table27[],23,FALSE)</f>
        <v>0.48</v>
      </c>
    </row>
  </sheetData>
  <dataValidations count="1">
    <dataValidation type="list" allowBlank="1" showInputMessage="1" showErrorMessage="1" sqref="F28:F33 D14:D19 D23" xr:uid="{C3E6D9E0-9C2B-48CC-A934-DDC31C8D8190}">
      <formula1>"&lt;Select&gt;,Yes,No"</formula1>
    </dataValidation>
  </dataValidations>
  <hyperlinks>
    <hyperlink ref="D1" r:id="rId1" xr:uid="{6F052CB9-CC48-422E-B84F-284929753686}"/>
  </hyperlinks>
  <pageMargins left="0.7" right="0.7" top="0.75" bottom="0.75" header="0.3" footer="0.3"/>
  <pageSetup orientation="portrait" r:id="rId2"/>
  <headerFooter>
    <oddHeader>&amp;LBrew Date:&amp;C&amp;22Cream Ale Style Test</oddHeader>
    <oddFooter>&amp;LSpeckled Paw Brewing Co.&amp;RMax Milan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08A69F07-73A0-4FC5-AECD-35266A4EC2B3}">
            <x14:iconSet iconSet="3Symbols" custom="1">
              <x14:cfvo type="percent">
                <xm:f>0</xm:f>
              </x14:cfvo>
              <x14:cfvo type="num">
                <xm:f>$G$79</xm:f>
              </x14:cfvo>
              <x14:cfvo type="num">
                <xm:f>$H$79</xm:f>
              </x14:cfvo>
              <x14:cfIcon iconSet="3Symbols" iconId="0"/>
              <x14:cfIcon iconSet="3Symbols" iconId="2"/>
              <x14:cfIcon iconSet="3Symbols" iconId="0"/>
            </x14:iconSet>
          </x14:cfRule>
          <xm:sqref>C3</xm:sqref>
        </x14:conditionalFormatting>
        <x14:conditionalFormatting xmlns:xm="http://schemas.microsoft.com/office/excel/2006/main">
          <x14:cfRule type="iconSet" priority="5" id="{99D6018F-15B9-4A0F-A0F0-6D2BEAFFEF8A}">
            <x14:iconSet iconSet="3Symbols" custom="1">
              <x14:cfvo type="percent">
                <xm:f>0</xm:f>
              </x14:cfvo>
              <x14:cfvo type="num">
                <xm:f>$G$80</xm:f>
              </x14:cfvo>
              <x14:cfvo type="num">
                <xm:f>$H$80</xm:f>
              </x14:cfvo>
              <x14:cfIcon iconSet="3Symbols" iconId="0"/>
              <x14:cfIcon iconSet="3Symbols" iconId="2"/>
              <x14:cfIcon iconSet="3Symbols" iconId="0"/>
            </x14:iconSet>
          </x14:cfRule>
          <xm:sqref>C4</xm:sqref>
        </x14:conditionalFormatting>
        <x14:conditionalFormatting xmlns:xm="http://schemas.microsoft.com/office/excel/2006/main">
          <x14:cfRule type="iconSet" priority="4" id="{3DBA40F9-9069-435C-BCA7-0F24D41AE942}">
            <x14:iconSet iconSet="3Symbols" custom="1">
              <x14:cfvo type="percent">
                <xm:f>0</xm:f>
              </x14:cfvo>
              <x14:cfvo type="num">
                <xm:f>$G$81</xm:f>
              </x14:cfvo>
              <x14:cfvo type="num">
                <xm:f>$H$81</xm:f>
              </x14:cfvo>
              <x14:cfIcon iconSet="3Symbols" iconId="0"/>
              <x14:cfIcon iconSet="3Symbols" iconId="2"/>
              <x14:cfIcon iconSet="3Symbols" iconId="0"/>
            </x14:iconSet>
          </x14:cfRule>
          <xm:sqref>C5</xm:sqref>
        </x14:conditionalFormatting>
        <x14:conditionalFormatting xmlns:xm="http://schemas.microsoft.com/office/excel/2006/main">
          <x14:cfRule type="iconSet" priority="3" id="{9E58DE38-D6AD-47D2-9A61-E9053953FF7D}">
            <x14:iconSet iconSet="3Symbols" custom="1">
              <x14:cfvo type="percent">
                <xm:f>0</xm:f>
              </x14:cfvo>
              <x14:cfvo type="num">
                <xm:f>$G$82</xm:f>
              </x14:cfvo>
              <x14:cfvo type="num">
                <xm:f>$H$82</xm:f>
              </x14:cfvo>
              <x14:cfIcon iconSet="3Symbols" iconId="0"/>
              <x14:cfIcon iconSet="3Symbols" iconId="2"/>
              <x14:cfIcon iconSet="3Symbols" iconId="0"/>
            </x14:iconSet>
          </x14:cfRule>
          <xm:sqref>C6</xm:sqref>
        </x14:conditionalFormatting>
        <x14:conditionalFormatting xmlns:xm="http://schemas.microsoft.com/office/excel/2006/main">
          <x14:cfRule type="iconSet" priority="2" id="{B45E6F57-6EA8-4BDE-8C21-3CEA967BF3BE}">
            <x14:iconSet iconSet="3Symbols" custom="1">
              <x14:cfvo type="percent">
                <xm:f>0</xm:f>
              </x14:cfvo>
              <x14:cfvo type="num">
                <xm:f>$G$83</xm:f>
              </x14:cfvo>
              <x14:cfvo type="num">
                <xm:f>$H$83</xm:f>
              </x14:cfvo>
              <x14:cfIcon iconSet="3Symbols" iconId="0"/>
              <x14:cfIcon iconSet="3Symbols" iconId="2"/>
              <x14:cfIcon iconSet="3Symbols" iconId="0"/>
            </x14:iconSet>
          </x14:cfRule>
          <xm:sqref>C7</xm:sqref>
        </x14:conditionalFormatting>
        <x14:conditionalFormatting xmlns:xm="http://schemas.microsoft.com/office/excel/2006/main">
          <x14:cfRule type="iconSet" priority="1" id="{874EF262-B125-41AE-B117-A6974728840B}">
            <x14:iconSet iconSet="3Symbols" custom="1">
              <x14:cfvo type="percent">
                <xm:f>0</xm:f>
              </x14:cfvo>
              <x14:cfvo type="num">
                <xm:f>$G$84</xm:f>
              </x14:cfvo>
              <x14:cfvo type="num">
                <xm:f>$H$84</xm:f>
              </x14:cfvo>
              <x14:cfIcon iconSet="3Symbols" iconId="0"/>
              <x14:cfIcon iconSet="3Symbols" iconId="2"/>
              <x14:cfIcon iconSet="3Symbols" iconId="0"/>
            </x14:iconSet>
          </x14:cfRule>
          <xm:sqref>C8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BD5BCA77-69C9-4AB9-912A-38BFD00F3E97}">
          <x14:formula1>
            <xm:f>'Fermentables &amp; Specialty Grain'!$F$2:$F$31</xm:f>
          </x14:formula1>
          <xm:sqref>H14:H19</xm:sqref>
        </x14:dataValidation>
        <x14:dataValidation type="list" allowBlank="1" showInputMessage="1" showErrorMessage="1" xr:uid="{BE31EAF9-B8ED-46BB-BB36-942EB7046643}">
          <x14:formula1>
            <xm:f>'CO2'!$A$2:$A$37</xm:f>
          </x14:formula1>
          <xm:sqref>A44</xm:sqref>
        </x14:dataValidation>
        <x14:dataValidation type="list" allowBlank="1" showInputMessage="1" showErrorMessage="1" xr:uid="{A599ED85-E7B9-43A8-BAF5-039178ADEC94}">
          <x14:formula1>
            <xm:f>'Fermentables &amp; Specialty Grain'!$A$2:$A$999</xm:f>
          </x14:formula1>
          <xm:sqref>C14:C19</xm:sqref>
        </x14:dataValidation>
        <x14:dataValidation type="list" allowBlank="1" showInputMessage="1" showErrorMessage="1" xr:uid="{7972CB7D-D975-4572-9185-3BD84BAECC2B}">
          <x14:formula1>
            <xm:f>'Fermentables &amp; Specialty Grain'!$K$5:$K$9</xm:f>
          </x14:formula1>
          <xm:sqref>C23</xm:sqref>
        </x14:dataValidation>
        <x14:dataValidation type="list" allowBlank="1" showInputMessage="1" showErrorMessage="1" xr:uid="{3B57507A-C8F0-49D2-BCD9-66468F7D7A07}">
          <x14:formula1>
            <xm:f>'Beer Style Information'!$A$2:$A$102</xm:f>
          </x14:formula1>
          <xm:sqref>C2</xm:sqref>
        </x14:dataValidation>
        <x14:dataValidation type="list" allowBlank="1" showInputMessage="1" showErrorMessage="1" xr:uid="{07AE25BE-0080-4058-B695-5B42E80328E6}">
          <x14:formula1>
            <xm:f>Yeast!$A$2:$A12</xm:f>
          </x14:formula1>
          <xm:sqref>C37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8E7E1-2AC1-4EA3-9FC9-AF042113DA2B}">
  <sheetPr>
    <tabColor theme="2" tint="-0.249977111117893"/>
  </sheetPr>
  <dimension ref="A1:AD102"/>
  <sheetViews>
    <sheetView topLeftCell="F1" workbookViewId="0">
      <selection activeCell="I2" sqref="I2:J102"/>
    </sheetView>
  </sheetViews>
  <sheetFormatPr defaultRowHeight="15" x14ac:dyDescent="0.25"/>
  <cols>
    <col min="1" max="1" width="33.5703125" customWidth="1"/>
    <col min="2" max="2" width="32.42578125" customWidth="1"/>
    <col min="3" max="6" width="22.7109375" customWidth="1"/>
    <col min="7" max="7" width="17.5703125" customWidth="1"/>
    <col min="8" max="8" width="18.42578125" customWidth="1"/>
    <col min="9" max="9" width="17.5703125" customWidth="1"/>
    <col min="10" max="10" width="18.42578125" customWidth="1"/>
    <col min="11" max="11" width="17" customWidth="1"/>
    <col min="12" max="12" width="17.5703125" customWidth="1"/>
    <col min="13" max="13" width="16" customWidth="1"/>
    <col min="14" max="15" width="16.85546875" customWidth="1"/>
    <col min="16" max="16" width="17.28515625" customWidth="1"/>
    <col min="17" max="17" width="17" customWidth="1"/>
    <col min="18" max="18" width="17" style="73" customWidth="1"/>
    <col min="19" max="19" width="16.140625" customWidth="1"/>
    <col min="20" max="20" width="15.42578125" customWidth="1"/>
    <col min="21" max="21" width="15.85546875" customWidth="1"/>
    <col min="22" max="22" width="44.5703125" customWidth="1"/>
    <col min="23" max="23" width="18.85546875" bestFit="1" customWidth="1"/>
    <col min="24" max="24" width="18.5703125" bestFit="1" customWidth="1"/>
  </cols>
  <sheetData>
    <row r="1" spans="1:30" x14ac:dyDescent="0.25">
      <c r="A1" s="68" t="s">
        <v>375</v>
      </c>
      <c r="B1" s="68" t="s">
        <v>376</v>
      </c>
      <c r="C1" s="68" t="s">
        <v>377</v>
      </c>
      <c r="D1" s="68" t="s">
        <v>378</v>
      </c>
      <c r="E1" s="68" t="s">
        <v>379</v>
      </c>
      <c r="F1" s="68" t="s">
        <v>380</v>
      </c>
      <c r="G1" s="68" t="s">
        <v>373</v>
      </c>
      <c r="H1" s="68" t="s">
        <v>239</v>
      </c>
      <c r="I1" s="68" t="s">
        <v>374</v>
      </c>
      <c r="J1" s="68" t="s">
        <v>240</v>
      </c>
      <c r="K1" s="68" t="s">
        <v>381</v>
      </c>
      <c r="L1" s="68" t="s">
        <v>382</v>
      </c>
      <c r="M1" s="68" t="s">
        <v>383</v>
      </c>
      <c r="N1" s="68" t="s">
        <v>384</v>
      </c>
      <c r="O1" s="68" t="s">
        <v>385</v>
      </c>
      <c r="P1" s="68" t="s">
        <v>386</v>
      </c>
      <c r="Q1" s="68" t="s">
        <v>387</v>
      </c>
      <c r="R1" s="71" t="s">
        <v>388</v>
      </c>
      <c r="S1" s="68" t="s">
        <v>389</v>
      </c>
      <c r="T1" s="68" t="s">
        <v>390</v>
      </c>
      <c r="U1" s="68" t="s">
        <v>391</v>
      </c>
      <c r="V1" s="68" t="s">
        <v>392</v>
      </c>
      <c r="W1" s="68" t="s">
        <v>393</v>
      </c>
      <c r="X1" s="68" t="s">
        <v>394</v>
      </c>
    </row>
    <row r="2" spans="1:30" x14ac:dyDescent="0.25">
      <c r="A2" s="69" t="s">
        <v>28</v>
      </c>
      <c r="B2" s="69" t="s">
        <v>103</v>
      </c>
      <c r="C2" s="69">
        <v>0</v>
      </c>
      <c r="D2" s="69">
        <v>0</v>
      </c>
      <c r="E2" s="69">
        <v>0</v>
      </c>
      <c r="F2" s="69">
        <v>0</v>
      </c>
      <c r="G2" s="69">
        <v>0</v>
      </c>
      <c r="H2" s="69">
        <v>0</v>
      </c>
      <c r="I2" s="70">
        <v>0</v>
      </c>
      <c r="J2" s="70">
        <v>0</v>
      </c>
      <c r="K2" s="69">
        <v>0</v>
      </c>
      <c r="L2" s="69">
        <v>0</v>
      </c>
      <c r="M2" s="69">
        <v>0</v>
      </c>
      <c r="N2" s="69">
        <v>0</v>
      </c>
      <c r="O2" s="69">
        <v>0</v>
      </c>
      <c r="P2" s="69">
        <v>0</v>
      </c>
      <c r="Q2" s="69">
        <f>(G2+H2)/2</f>
        <v>0</v>
      </c>
      <c r="R2" s="72">
        <f t="shared" ref="R2:R33" si="0">(I2+J2)/200</f>
        <v>0</v>
      </c>
      <c r="S2" s="69">
        <f>(K2+L2)/2</f>
        <v>0</v>
      </c>
      <c r="T2" s="69">
        <f>(M2+N2)/2</f>
        <v>0</v>
      </c>
      <c r="U2" s="69">
        <f>(O2+P2)/2</f>
        <v>0</v>
      </c>
      <c r="V2" s="69">
        <f>ROUND((U2/(S2*1000-1000)),2)</f>
        <v>0</v>
      </c>
      <c r="W2" s="69">
        <f t="shared" ref="W2:W33" si="1">ROUND((P2/(K2*1000-1000)),2)</f>
        <v>0</v>
      </c>
      <c r="X2" s="69">
        <f t="shared" ref="X2:X33" si="2">ROUND((O2/(L2*1000-1000)),2)</f>
        <v>0</v>
      </c>
      <c r="AC2">
        <f>I2/100</f>
        <v>0</v>
      </c>
      <c r="AD2">
        <f>J2/100</f>
        <v>0</v>
      </c>
    </row>
    <row r="3" spans="1:30" x14ac:dyDescent="0.25">
      <c r="A3" s="69" t="s">
        <v>241</v>
      </c>
      <c r="B3" s="69" t="s">
        <v>242</v>
      </c>
      <c r="C3">
        <v>1</v>
      </c>
      <c r="G3" s="69">
        <v>2</v>
      </c>
      <c r="H3" s="69">
        <v>3</v>
      </c>
      <c r="I3" s="70">
        <v>2.7999999999999997E-2</v>
      </c>
      <c r="J3" s="70">
        <v>4.2000000000000003E-2</v>
      </c>
      <c r="K3" s="69">
        <v>1.028</v>
      </c>
      <c r="L3" s="69">
        <v>1.04</v>
      </c>
      <c r="M3" s="69">
        <v>0.998</v>
      </c>
      <c r="N3" s="69">
        <v>1.008</v>
      </c>
      <c r="O3" s="69">
        <v>8</v>
      </c>
      <c r="P3" s="69">
        <v>12</v>
      </c>
      <c r="Q3" s="69">
        <f>(G3+H3)/2</f>
        <v>2.5</v>
      </c>
      <c r="R3" s="72">
        <f t="shared" si="0"/>
        <v>3.5000000000000005E-4</v>
      </c>
      <c r="S3" s="69">
        <f>(K3+L3)/2</f>
        <v>1.034</v>
      </c>
      <c r="T3" s="69">
        <f>(M3+N3)/2</f>
        <v>1.0030000000000001</v>
      </c>
      <c r="U3" s="69">
        <f>(O3+P3)/2</f>
        <v>10</v>
      </c>
      <c r="V3" s="69">
        <f>ROUND((U3/(S3*1000-1000)),2)</f>
        <v>0.28999999999999998</v>
      </c>
      <c r="W3" s="69">
        <f t="shared" si="1"/>
        <v>0.43</v>
      </c>
      <c r="X3" s="69">
        <f t="shared" si="2"/>
        <v>0.2</v>
      </c>
      <c r="AC3">
        <f t="shared" ref="AC3:AC66" si="3">I3/100</f>
        <v>2.7999999999999998E-4</v>
      </c>
      <c r="AD3">
        <f t="shared" ref="AD3:AD66" si="4">J3/100</f>
        <v>4.2000000000000002E-4</v>
      </c>
    </row>
    <row r="4" spans="1:30" x14ac:dyDescent="0.25">
      <c r="A4" s="69" t="s">
        <v>243</v>
      </c>
      <c r="B4" s="69" t="s">
        <v>242</v>
      </c>
      <c r="C4">
        <v>1</v>
      </c>
      <c r="G4" s="69">
        <v>2</v>
      </c>
      <c r="H4" s="69">
        <v>4</v>
      </c>
      <c r="I4" s="70">
        <v>4.2000000000000003E-2</v>
      </c>
      <c r="J4" s="70">
        <v>5.2999999999999999E-2</v>
      </c>
      <c r="K4" s="69">
        <v>1.04</v>
      </c>
      <c r="L4" s="69">
        <v>1.05</v>
      </c>
      <c r="M4" s="69">
        <v>1.004</v>
      </c>
      <c r="N4" s="69">
        <v>1.01</v>
      </c>
      <c r="O4" s="69">
        <v>8</v>
      </c>
      <c r="P4" s="69">
        <v>18</v>
      </c>
      <c r="Q4" s="69">
        <f>(G4+H4)/2</f>
        <v>3</v>
      </c>
      <c r="R4" s="72">
        <f t="shared" si="0"/>
        <v>4.75E-4</v>
      </c>
      <c r="S4" s="69">
        <f>(K4+L4)/2</f>
        <v>1.0449999999999999</v>
      </c>
      <c r="T4" s="69">
        <f>(M4+N4)/2</f>
        <v>1.0070000000000001</v>
      </c>
      <c r="U4" s="69">
        <f>(O4+P4)/2</f>
        <v>13</v>
      </c>
      <c r="V4" s="69">
        <f>ROUND((U4/(S4*1000-1000)),2)</f>
        <v>0.28999999999999998</v>
      </c>
      <c r="W4" s="69">
        <f t="shared" si="1"/>
        <v>0.45</v>
      </c>
      <c r="X4" s="69">
        <f t="shared" si="2"/>
        <v>0.16</v>
      </c>
      <c r="AC4">
        <f t="shared" si="3"/>
        <v>4.2000000000000002E-4</v>
      </c>
      <c r="AD4">
        <f t="shared" si="4"/>
        <v>5.2999999999999998E-4</v>
      </c>
    </row>
    <row r="5" spans="1:30" x14ac:dyDescent="0.25">
      <c r="A5" s="69" t="s">
        <v>244</v>
      </c>
      <c r="B5" s="69" t="s">
        <v>242</v>
      </c>
      <c r="C5">
        <v>1</v>
      </c>
      <c r="G5" s="69">
        <v>2.5</v>
      </c>
      <c r="H5" s="69">
        <v>5</v>
      </c>
      <c r="I5" s="70">
        <v>4.2000000000000003E-2</v>
      </c>
      <c r="J5" s="70">
        <v>5.5999999999999994E-2</v>
      </c>
      <c r="K5" s="69">
        <v>1.042</v>
      </c>
      <c r="L5" s="69">
        <v>1.0549999999999999</v>
      </c>
      <c r="M5" s="69">
        <v>1.006</v>
      </c>
      <c r="N5" s="69">
        <v>1.012</v>
      </c>
      <c r="O5" s="69">
        <v>8</v>
      </c>
      <c r="P5" s="69">
        <v>20</v>
      </c>
      <c r="Q5" s="69">
        <f>(G5+H5)/2</f>
        <v>3.75</v>
      </c>
      <c r="R5" s="72">
        <f t="shared" si="0"/>
        <v>4.8999999999999998E-4</v>
      </c>
      <c r="S5" s="69">
        <f>(K5+L5)/2</f>
        <v>1.0485</v>
      </c>
      <c r="T5" s="69">
        <f>(M5+N5)/2</f>
        <v>1.0089999999999999</v>
      </c>
      <c r="U5" s="69">
        <f>(O5+P5)/2</f>
        <v>14</v>
      </c>
      <c r="V5" s="69">
        <f>ROUND((U5/(S5*1000-1000)),2)</f>
        <v>0.28999999999999998</v>
      </c>
      <c r="W5" s="69">
        <f t="shared" si="1"/>
        <v>0.48</v>
      </c>
      <c r="X5" s="69">
        <f t="shared" si="2"/>
        <v>0.15</v>
      </c>
      <c r="AC5">
        <f t="shared" si="3"/>
        <v>4.2000000000000002E-4</v>
      </c>
      <c r="AD5">
        <f t="shared" si="4"/>
        <v>5.5999999999999995E-4</v>
      </c>
    </row>
    <row r="6" spans="1:30" x14ac:dyDescent="0.25">
      <c r="A6" s="69" t="s">
        <v>245</v>
      </c>
      <c r="B6" s="69" t="s">
        <v>242</v>
      </c>
      <c r="C6">
        <v>1</v>
      </c>
      <c r="G6" s="69">
        <v>3</v>
      </c>
      <c r="H6" s="69">
        <v>6</v>
      </c>
      <c r="I6" s="70">
        <v>0.04</v>
      </c>
      <c r="J6" s="70">
        <v>5.5E-2</v>
      </c>
      <c r="K6" s="69">
        <v>1.04</v>
      </c>
      <c r="L6" s="69">
        <v>1.0549999999999999</v>
      </c>
      <c r="M6" s="69">
        <v>1.008</v>
      </c>
      <c r="N6" s="69">
        <v>1.0129999999999999</v>
      </c>
      <c r="O6" s="69">
        <v>15</v>
      </c>
      <c r="P6" s="69">
        <v>30</v>
      </c>
      <c r="Q6" s="69">
        <f>(G6+H6)/2</f>
        <v>4.5</v>
      </c>
      <c r="R6" s="72">
        <f t="shared" si="0"/>
        <v>4.75E-4</v>
      </c>
      <c r="S6" s="69">
        <f>(K6+L6)/2</f>
        <v>1.0474999999999999</v>
      </c>
      <c r="T6" s="69">
        <f>(M6+N6)/2</f>
        <v>1.0105</v>
      </c>
      <c r="U6" s="69">
        <f>(O6+P6)/2</f>
        <v>22.5</v>
      </c>
      <c r="V6" s="69">
        <f>ROUND((U6/(S6*1000-1000)),2)</f>
        <v>0.47</v>
      </c>
      <c r="W6" s="69">
        <f t="shared" si="1"/>
        <v>0.75</v>
      </c>
      <c r="X6" s="69">
        <f t="shared" si="2"/>
        <v>0.27</v>
      </c>
      <c r="AC6">
        <f t="shared" si="3"/>
        <v>4.0000000000000002E-4</v>
      </c>
      <c r="AD6">
        <f t="shared" si="4"/>
        <v>5.5000000000000003E-4</v>
      </c>
    </row>
    <row r="7" spans="1:30" x14ac:dyDescent="0.25">
      <c r="A7" s="69" t="s">
        <v>246</v>
      </c>
      <c r="B7" s="69" t="s">
        <v>247</v>
      </c>
      <c r="C7">
        <v>1</v>
      </c>
      <c r="G7" s="69">
        <v>2</v>
      </c>
      <c r="H7" s="69">
        <v>6</v>
      </c>
      <c r="I7" s="70">
        <v>4.5999999999999999E-2</v>
      </c>
      <c r="J7" s="70">
        <v>0.06</v>
      </c>
      <c r="K7" s="69">
        <v>1.042</v>
      </c>
      <c r="L7" s="69">
        <v>1.05</v>
      </c>
      <c r="M7" s="69">
        <v>1.008</v>
      </c>
      <c r="N7" s="69">
        <v>1.012</v>
      </c>
      <c r="O7" s="69">
        <v>18</v>
      </c>
      <c r="P7" s="69">
        <v>25</v>
      </c>
      <c r="Q7" s="69">
        <f>(G7+H7)/2</f>
        <v>4</v>
      </c>
      <c r="R7" s="72">
        <f t="shared" si="0"/>
        <v>5.2999999999999998E-4</v>
      </c>
      <c r="S7" s="69">
        <f>(K7+L7)/2</f>
        <v>1.046</v>
      </c>
      <c r="T7" s="69">
        <f>(M7+N7)/2</f>
        <v>1.01</v>
      </c>
      <c r="U7" s="69">
        <f>(O7+P7)/2</f>
        <v>21.5</v>
      </c>
      <c r="V7" s="69">
        <f>ROUND((U7/(S7*1000-1000)),2)</f>
        <v>0.47</v>
      </c>
      <c r="W7" s="69">
        <f t="shared" si="1"/>
        <v>0.6</v>
      </c>
      <c r="X7" s="69">
        <f t="shared" si="2"/>
        <v>0.36</v>
      </c>
      <c r="AC7">
        <f t="shared" si="3"/>
        <v>4.6000000000000001E-4</v>
      </c>
      <c r="AD7">
        <f t="shared" si="4"/>
        <v>5.9999999999999995E-4</v>
      </c>
    </row>
    <row r="8" spans="1:30" x14ac:dyDescent="0.25">
      <c r="A8" s="69" t="s">
        <v>248</v>
      </c>
      <c r="B8" s="69" t="s">
        <v>247</v>
      </c>
      <c r="D8">
        <v>1</v>
      </c>
      <c r="G8" s="69">
        <v>7</v>
      </c>
      <c r="H8" s="69">
        <v>14</v>
      </c>
      <c r="I8" s="70">
        <v>4.5999999999999999E-2</v>
      </c>
      <c r="J8" s="70">
        <v>0.06</v>
      </c>
      <c r="K8" s="69">
        <v>1.042</v>
      </c>
      <c r="L8" s="69">
        <v>1.0549999999999999</v>
      </c>
      <c r="M8" s="69">
        <v>1.008</v>
      </c>
      <c r="N8" s="69">
        <v>1.014</v>
      </c>
      <c r="O8" s="69">
        <v>8</v>
      </c>
      <c r="P8" s="69">
        <v>25</v>
      </c>
      <c r="Q8" s="69">
        <f>(G8+H8)/2</f>
        <v>10.5</v>
      </c>
      <c r="R8" s="72">
        <f t="shared" si="0"/>
        <v>5.2999999999999998E-4</v>
      </c>
      <c r="S8" s="69">
        <f>(K8+L8)/2</f>
        <v>1.0485</v>
      </c>
      <c r="T8" s="69">
        <f>(M8+N8)/2</f>
        <v>1.0110000000000001</v>
      </c>
      <c r="U8" s="69">
        <f>(O8+P8)/2</f>
        <v>16.5</v>
      </c>
      <c r="V8" s="69">
        <f>ROUND((U8/(S8*1000-1000)),2)</f>
        <v>0.34</v>
      </c>
      <c r="W8" s="69">
        <f t="shared" si="1"/>
        <v>0.6</v>
      </c>
      <c r="X8" s="69">
        <f t="shared" si="2"/>
        <v>0.15</v>
      </c>
      <c r="AC8">
        <f t="shared" si="3"/>
        <v>4.6000000000000001E-4</v>
      </c>
      <c r="AD8">
        <f t="shared" si="4"/>
        <v>5.9999999999999995E-4</v>
      </c>
    </row>
    <row r="9" spans="1:30" x14ac:dyDescent="0.25">
      <c r="A9" s="69" t="s">
        <v>249</v>
      </c>
      <c r="B9" s="69" t="s">
        <v>247</v>
      </c>
      <c r="D9">
        <v>1</v>
      </c>
      <c r="G9" s="69">
        <v>14</v>
      </c>
      <c r="H9" s="69">
        <v>22</v>
      </c>
      <c r="I9" s="70">
        <v>4.2000000000000003E-2</v>
      </c>
      <c r="J9" s="70">
        <v>0.06</v>
      </c>
      <c r="K9" s="69">
        <v>1.044</v>
      </c>
      <c r="L9" s="69">
        <v>1.056</v>
      </c>
      <c r="M9" s="69">
        <v>1.008</v>
      </c>
      <c r="N9" s="69">
        <v>1.012</v>
      </c>
      <c r="O9" s="69">
        <v>8</v>
      </c>
      <c r="P9" s="69">
        <v>20</v>
      </c>
      <c r="Q9" s="69">
        <f>(G9+H9)/2</f>
        <v>18</v>
      </c>
      <c r="R9" s="72">
        <f t="shared" si="0"/>
        <v>5.1000000000000004E-4</v>
      </c>
      <c r="S9" s="69">
        <f>(K9+L9)/2</f>
        <v>1.05</v>
      </c>
      <c r="T9" s="69">
        <f>(M9+N9)/2</f>
        <v>1.01</v>
      </c>
      <c r="U9" s="69">
        <f>(O9+P9)/2</f>
        <v>14</v>
      </c>
      <c r="V9" s="69">
        <f>ROUND((U9/(S9*1000-1000)),2)</f>
        <v>0.28000000000000003</v>
      </c>
      <c r="W9" s="69">
        <f t="shared" si="1"/>
        <v>0.45</v>
      </c>
      <c r="X9" s="69">
        <f t="shared" si="2"/>
        <v>0.14000000000000001</v>
      </c>
      <c r="AC9">
        <f t="shared" si="3"/>
        <v>4.2000000000000002E-4</v>
      </c>
      <c r="AD9">
        <f t="shared" si="4"/>
        <v>5.9999999999999995E-4</v>
      </c>
    </row>
    <row r="10" spans="1:30" x14ac:dyDescent="0.25">
      <c r="A10" s="69" t="s">
        <v>250</v>
      </c>
      <c r="B10" s="69" t="s">
        <v>251</v>
      </c>
      <c r="F10">
        <v>1</v>
      </c>
      <c r="G10" s="69">
        <v>3</v>
      </c>
      <c r="H10" s="69">
        <v>6</v>
      </c>
      <c r="I10" s="70">
        <v>0.03</v>
      </c>
      <c r="J10" s="70">
        <v>4.0999999999999995E-2</v>
      </c>
      <c r="K10" s="69">
        <v>1.028</v>
      </c>
      <c r="L10" s="69">
        <v>1.044</v>
      </c>
      <c r="M10" s="69">
        <v>1.008</v>
      </c>
      <c r="N10" s="69">
        <v>1.014</v>
      </c>
      <c r="O10" s="69">
        <v>20</v>
      </c>
      <c r="P10" s="69">
        <v>35</v>
      </c>
      <c r="Q10" s="69">
        <f>(G10+H10)/2</f>
        <v>4.5</v>
      </c>
      <c r="R10" s="72">
        <f t="shared" si="0"/>
        <v>3.5499999999999996E-4</v>
      </c>
      <c r="S10" s="69">
        <f>(K10+L10)/2</f>
        <v>1.036</v>
      </c>
      <c r="T10" s="69">
        <f>(M10+N10)/2</f>
        <v>1.0110000000000001</v>
      </c>
      <c r="U10" s="69">
        <f>(O10+P10)/2</f>
        <v>27.5</v>
      </c>
      <c r="V10" s="69">
        <f>ROUND((U10/(S10*1000-1000)),2)</f>
        <v>0.76</v>
      </c>
      <c r="W10" s="69">
        <f t="shared" si="1"/>
        <v>1.25</v>
      </c>
      <c r="X10" s="69">
        <f t="shared" si="2"/>
        <v>0.45</v>
      </c>
      <c r="AC10">
        <f t="shared" si="3"/>
        <v>2.9999999999999997E-4</v>
      </c>
      <c r="AD10">
        <f t="shared" si="4"/>
        <v>4.0999999999999994E-4</v>
      </c>
    </row>
    <row r="11" spans="1:30" x14ac:dyDescent="0.25">
      <c r="A11" s="69" t="s">
        <v>252</v>
      </c>
      <c r="B11" s="69" t="s">
        <v>251</v>
      </c>
      <c r="C11">
        <v>1</v>
      </c>
      <c r="G11" s="69">
        <v>3.5</v>
      </c>
      <c r="H11" s="69">
        <v>6</v>
      </c>
      <c r="I11" s="70">
        <v>4.2000000000000003E-2</v>
      </c>
      <c r="J11" s="70">
        <v>5.7999999999999996E-2</v>
      </c>
      <c r="K11" s="69">
        <v>1.044</v>
      </c>
      <c r="L11" s="69">
        <v>1.06</v>
      </c>
      <c r="M11" s="69">
        <v>1.0129999999999999</v>
      </c>
      <c r="N11" s="69">
        <v>1.0169999999999999</v>
      </c>
      <c r="O11" s="69">
        <v>30</v>
      </c>
      <c r="P11" s="69">
        <v>45</v>
      </c>
      <c r="Q11" s="69">
        <f>(G11+H11)/2</f>
        <v>4.75</v>
      </c>
      <c r="R11" s="72">
        <f t="shared" si="0"/>
        <v>5.0000000000000001E-4</v>
      </c>
      <c r="S11" s="69">
        <f>(K11+L11)/2</f>
        <v>1.052</v>
      </c>
      <c r="T11" s="69">
        <f>(M11+N11)/2</f>
        <v>1.0149999999999999</v>
      </c>
      <c r="U11" s="69">
        <f>(O11+P11)/2</f>
        <v>37.5</v>
      </c>
      <c r="V11" s="69">
        <f>ROUND((U11/(S11*1000-1000)),2)</f>
        <v>0.72</v>
      </c>
      <c r="W11" s="69">
        <f t="shared" si="1"/>
        <v>1.02</v>
      </c>
      <c r="X11" s="69">
        <f t="shared" si="2"/>
        <v>0.5</v>
      </c>
      <c r="AC11">
        <f t="shared" si="3"/>
        <v>4.2000000000000002E-4</v>
      </c>
      <c r="AD11">
        <f t="shared" si="4"/>
        <v>5.8E-4</v>
      </c>
    </row>
    <row r="12" spans="1:30" x14ac:dyDescent="0.25">
      <c r="A12" s="69" t="s">
        <v>253</v>
      </c>
      <c r="B12" s="69" t="s">
        <v>251</v>
      </c>
      <c r="C12">
        <v>1</v>
      </c>
      <c r="G12" s="69">
        <v>10</v>
      </c>
      <c r="H12" s="69">
        <v>16</v>
      </c>
      <c r="I12" s="70">
        <v>4.4000000000000004E-2</v>
      </c>
      <c r="J12" s="70">
        <v>5.7999999999999996E-2</v>
      </c>
      <c r="K12" s="69">
        <v>1.044</v>
      </c>
      <c r="L12" s="69">
        <v>1.06</v>
      </c>
      <c r="M12" s="69">
        <v>1.0129999999999999</v>
      </c>
      <c r="N12" s="69">
        <v>1.0169999999999999</v>
      </c>
      <c r="O12" s="69">
        <v>20</v>
      </c>
      <c r="P12" s="69">
        <v>35</v>
      </c>
      <c r="Q12" s="69">
        <f>(G12+H12)/2</f>
        <v>13</v>
      </c>
      <c r="R12" s="72">
        <f t="shared" si="0"/>
        <v>5.1000000000000004E-4</v>
      </c>
      <c r="S12" s="69">
        <f>(K12+L12)/2</f>
        <v>1.052</v>
      </c>
      <c r="T12" s="69">
        <f>(M12+N12)/2</f>
        <v>1.0149999999999999</v>
      </c>
      <c r="U12" s="69">
        <f>(O12+P12)/2</f>
        <v>27.5</v>
      </c>
      <c r="V12" s="69">
        <f>ROUND((U12/(S12*1000-1000)),2)</f>
        <v>0.53</v>
      </c>
      <c r="W12" s="69">
        <f t="shared" si="1"/>
        <v>0.8</v>
      </c>
      <c r="X12" s="69">
        <f t="shared" si="2"/>
        <v>0.33</v>
      </c>
      <c r="AC12">
        <f t="shared" si="3"/>
        <v>4.4000000000000007E-4</v>
      </c>
      <c r="AD12">
        <f t="shared" si="4"/>
        <v>5.8E-4</v>
      </c>
    </row>
    <row r="13" spans="1:30" x14ac:dyDescent="0.25">
      <c r="A13" s="69" t="s">
        <v>254</v>
      </c>
      <c r="B13" s="69" t="s">
        <v>251</v>
      </c>
      <c r="C13">
        <v>1</v>
      </c>
      <c r="G13" s="69">
        <v>14</v>
      </c>
      <c r="H13" s="69">
        <v>35</v>
      </c>
      <c r="I13" s="70">
        <v>4.4000000000000004E-2</v>
      </c>
      <c r="J13" s="70">
        <v>5.7999999999999996E-2</v>
      </c>
      <c r="K13" s="69">
        <v>1.044</v>
      </c>
      <c r="L13" s="69">
        <v>1.06</v>
      </c>
      <c r="M13" s="69">
        <v>1.0129999999999999</v>
      </c>
      <c r="N13" s="69">
        <v>1.0169999999999999</v>
      </c>
      <c r="O13" s="69">
        <v>18</v>
      </c>
      <c r="P13" s="69">
        <v>34</v>
      </c>
      <c r="Q13" s="69">
        <f>(G13+H13)/2</f>
        <v>24.5</v>
      </c>
      <c r="R13" s="72">
        <f t="shared" si="0"/>
        <v>5.1000000000000004E-4</v>
      </c>
      <c r="S13" s="69">
        <f>(K13+L13)/2</f>
        <v>1.052</v>
      </c>
      <c r="T13" s="69">
        <f>(M13+N13)/2</f>
        <v>1.0149999999999999</v>
      </c>
      <c r="U13" s="69">
        <f>(O13+P13)/2</f>
        <v>26</v>
      </c>
      <c r="V13" s="69">
        <f>ROUND((U13/(S13*1000-1000)),2)</f>
        <v>0.5</v>
      </c>
      <c r="W13" s="69">
        <f t="shared" si="1"/>
        <v>0.77</v>
      </c>
      <c r="X13" s="69">
        <f t="shared" si="2"/>
        <v>0.3</v>
      </c>
      <c r="AC13">
        <f t="shared" si="3"/>
        <v>4.4000000000000007E-4</v>
      </c>
      <c r="AD13">
        <f t="shared" si="4"/>
        <v>5.8E-4</v>
      </c>
    </row>
    <row r="14" spans="1:30" x14ac:dyDescent="0.25">
      <c r="A14" s="69" t="s">
        <v>255</v>
      </c>
      <c r="B14" s="69" t="s">
        <v>256</v>
      </c>
      <c r="D14">
        <v>1</v>
      </c>
      <c r="G14" s="69">
        <v>3</v>
      </c>
      <c r="H14" s="69">
        <v>5</v>
      </c>
      <c r="I14" s="70">
        <v>4.7E-2</v>
      </c>
      <c r="J14" s="70">
        <v>5.4000000000000006E-2</v>
      </c>
      <c r="K14" s="69">
        <v>1.044</v>
      </c>
      <c r="L14" s="69">
        <v>1.048</v>
      </c>
      <c r="M14" s="69">
        <v>1.006</v>
      </c>
      <c r="N14" s="69">
        <v>1.012</v>
      </c>
      <c r="O14" s="69">
        <v>16</v>
      </c>
      <c r="P14" s="69">
        <v>22</v>
      </c>
      <c r="Q14" s="69">
        <f>(G14+H14)/2</f>
        <v>4</v>
      </c>
      <c r="R14" s="72">
        <f t="shared" si="0"/>
        <v>5.0500000000000002E-4</v>
      </c>
      <c r="S14" s="69">
        <f>(K14+L14)/2</f>
        <v>1.046</v>
      </c>
      <c r="T14" s="69">
        <f>(M14+N14)/2</f>
        <v>1.0089999999999999</v>
      </c>
      <c r="U14" s="69">
        <f>(O14+P14)/2</f>
        <v>19</v>
      </c>
      <c r="V14" s="69">
        <f>ROUND((U14/(S14*1000-1000)),2)</f>
        <v>0.41</v>
      </c>
      <c r="W14" s="69">
        <f t="shared" si="1"/>
        <v>0.5</v>
      </c>
      <c r="X14" s="69">
        <f t="shared" si="2"/>
        <v>0.33</v>
      </c>
      <c r="AC14">
        <f t="shared" si="3"/>
        <v>4.6999999999999999E-4</v>
      </c>
      <c r="AD14">
        <f t="shared" si="4"/>
        <v>5.4000000000000012E-4</v>
      </c>
    </row>
    <row r="15" spans="1:30" x14ac:dyDescent="0.25">
      <c r="A15" s="69" t="s">
        <v>257</v>
      </c>
      <c r="B15" s="69" t="s">
        <v>256</v>
      </c>
      <c r="D15">
        <v>1</v>
      </c>
      <c r="G15" s="69">
        <v>6</v>
      </c>
      <c r="H15" s="69">
        <v>11</v>
      </c>
      <c r="I15" s="70">
        <v>6.3E-2</v>
      </c>
      <c r="J15" s="70">
        <v>7.400000000000001E-2</v>
      </c>
      <c r="K15" s="69">
        <v>1.0640000000000001</v>
      </c>
      <c r="L15" s="69">
        <v>1.0720000000000001</v>
      </c>
      <c r="M15" s="69">
        <v>1.0109999999999999</v>
      </c>
      <c r="N15" s="69">
        <v>1.018</v>
      </c>
      <c r="O15" s="69">
        <v>23</v>
      </c>
      <c r="P15" s="69">
        <v>35</v>
      </c>
      <c r="Q15" s="69">
        <f>(G15+H15)/2</f>
        <v>8.5</v>
      </c>
      <c r="R15" s="72">
        <f t="shared" si="0"/>
        <v>6.8500000000000006E-4</v>
      </c>
      <c r="S15" s="69">
        <f>(K15+L15)/2</f>
        <v>1.0680000000000001</v>
      </c>
      <c r="T15" s="69">
        <f>(M15+N15)/2</f>
        <v>1.0145</v>
      </c>
      <c r="U15" s="69">
        <f>(O15+P15)/2</f>
        <v>29</v>
      </c>
      <c r="V15" s="69">
        <f>ROUND((U15/(S15*1000-1000)),2)</f>
        <v>0.43</v>
      </c>
      <c r="W15" s="69">
        <f t="shared" si="1"/>
        <v>0.55000000000000004</v>
      </c>
      <c r="X15" s="69">
        <f t="shared" si="2"/>
        <v>0.32</v>
      </c>
      <c r="AC15">
        <f t="shared" si="3"/>
        <v>6.3000000000000003E-4</v>
      </c>
      <c r="AD15">
        <f t="shared" si="4"/>
        <v>7.400000000000001E-4</v>
      </c>
    </row>
    <row r="16" spans="1:30" x14ac:dyDescent="0.25">
      <c r="A16" s="69" t="s">
        <v>258</v>
      </c>
      <c r="B16" s="69" t="s">
        <v>256</v>
      </c>
      <c r="D16">
        <v>1</v>
      </c>
      <c r="G16" s="69">
        <v>4</v>
      </c>
      <c r="H16" s="69">
        <v>7</v>
      </c>
      <c r="I16" s="70">
        <v>5.7999999999999996E-2</v>
      </c>
      <c r="J16" s="70">
        <v>6.3E-2</v>
      </c>
      <c r="K16" s="69">
        <v>1.054</v>
      </c>
      <c r="L16" s="69">
        <v>1.0569999999999999</v>
      </c>
      <c r="M16" s="69">
        <v>1.01</v>
      </c>
      <c r="N16" s="69">
        <v>1.012</v>
      </c>
      <c r="O16" s="69">
        <v>18</v>
      </c>
      <c r="P16" s="69">
        <v>25</v>
      </c>
      <c r="Q16" s="69">
        <f>(G16+H16)/2</f>
        <v>5.5</v>
      </c>
      <c r="R16" s="72">
        <f t="shared" si="0"/>
        <v>6.0499999999999996E-4</v>
      </c>
      <c r="S16" s="69">
        <f>(K16+L16)/2</f>
        <v>1.0554999999999999</v>
      </c>
      <c r="T16" s="69">
        <f>(M16+N16)/2</f>
        <v>1.0110000000000001</v>
      </c>
      <c r="U16" s="69">
        <f>(O16+P16)/2</f>
        <v>21.5</v>
      </c>
      <c r="V16" s="69">
        <f>ROUND((U16/(S16*1000-1000)),2)</f>
        <v>0.39</v>
      </c>
      <c r="W16" s="69">
        <f t="shared" si="1"/>
        <v>0.46</v>
      </c>
      <c r="X16" s="69">
        <f t="shared" si="2"/>
        <v>0.32</v>
      </c>
      <c r="AC16">
        <f t="shared" si="3"/>
        <v>5.8E-4</v>
      </c>
      <c r="AD16">
        <f t="shared" si="4"/>
        <v>6.3000000000000003E-4</v>
      </c>
    </row>
    <row r="17" spans="1:30" x14ac:dyDescent="0.25">
      <c r="A17" s="69" t="s">
        <v>259</v>
      </c>
      <c r="B17" s="69" t="s">
        <v>260</v>
      </c>
      <c r="F17">
        <v>1</v>
      </c>
      <c r="G17" s="69">
        <v>2</v>
      </c>
      <c r="H17" s="69">
        <v>5</v>
      </c>
      <c r="I17" s="70">
        <v>2.4E-2</v>
      </c>
      <c r="J17" s="70">
        <v>3.6000000000000004E-2</v>
      </c>
      <c r="K17" s="69">
        <v>1.026</v>
      </c>
      <c r="L17" s="69">
        <v>1.034</v>
      </c>
      <c r="M17" s="69">
        <v>1.006</v>
      </c>
      <c r="N17" s="69">
        <v>1.01</v>
      </c>
      <c r="O17" s="69">
        <v>15</v>
      </c>
      <c r="P17" s="69">
        <v>28</v>
      </c>
      <c r="Q17" s="69">
        <f>(G17+H17)/2</f>
        <v>3.5</v>
      </c>
      <c r="R17" s="72">
        <f t="shared" si="0"/>
        <v>3.0000000000000003E-4</v>
      </c>
      <c r="S17" s="69">
        <f>(K17+L17)/2</f>
        <v>1.03</v>
      </c>
      <c r="T17" s="69">
        <f>(M17+N17)/2</f>
        <v>1.008</v>
      </c>
      <c r="U17" s="69">
        <f>(O17+P17)/2</f>
        <v>21.5</v>
      </c>
      <c r="V17" s="69">
        <f>ROUND((U17/(S17*1000-1000)),2)</f>
        <v>0.72</v>
      </c>
      <c r="W17" s="69">
        <f t="shared" si="1"/>
        <v>1.08</v>
      </c>
      <c r="X17" s="69">
        <f t="shared" si="2"/>
        <v>0.44</v>
      </c>
      <c r="AC17">
        <f t="shared" si="3"/>
        <v>2.4000000000000001E-4</v>
      </c>
      <c r="AD17">
        <f t="shared" si="4"/>
        <v>3.6000000000000002E-4</v>
      </c>
    </row>
    <row r="18" spans="1:30" x14ac:dyDescent="0.25">
      <c r="A18" s="69" t="s">
        <v>261</v>
      </c>
      <c r="B18" s="69" t="s">
        <v>260</v>
      </c>
      <c r="C18">
        <v>1</v>
      </c>
      <c r="G18" s="69">
        <v>3.5</v>
      </c>
      <c r="H18" s="69">
        <v>5</v>
      </c>
      <c r="I18" s="70">
        <v>4.4000000000000004E-2</v>
      </c>
      <c r="J18" s="70">
        <v>5.2000000000000005E-2</v>
      </c>
      <c r="K18" s="69">
        <v>1.044</v>
      </c>
      <c r="L18" s="69">
        <v>1.05</v>
      </c>
      <c r="M18" s="69">
        <v>1.0069999999999999</v>
      </c>
      <c r="N18" s="69">
        <v>1.0109999999999999</v>
      </c>
      <c r="O18" s="69">
        <v>18</v>
      </c>
      <c r="P18" s="69">
        <v>30</v>
      </c>
      <c r="Q18" s="69">
        <f>(G18+H18)/2</f>
        <v>4.25</v>
      </c>
      <c r="R18" s="72">
        <f t="shared" si="0"/>
        <v>4.8000000000000001E-4</v>
      </c>
      <c r="S18" s="69">
        <f>(K18+L18)/2</f>
        <v>1.0470000000000002</v>
      </c>
      <c r="T18" s="69">
        <f>(M18+N18)/2</f>
        <v>1.0089999999999999</v>
      </c>
      <c r="U18" s="69">
        <f>(O18+P18)/2</f>
        <v>24</v>
      </c>
      <c r="V18" s="69">
        <f>ROUND((U18/(S18*1000-1000)),2)</f>
        <v>0.51</v>
      </c>
      <c r="W18" s="69">
        <f t="shared" si="1"/>
        <v>0.68</v>
      </c>
      <c r="X18" s="69">
        <f t="shared" si="2"/>
        <v>0.36</v>
      </c>
      <c r="AC18">
        <f t="shared" si="3"/>
        <v>4.4000000000000007E-4</v>
      </c>
      <c r="AD18">
        <f t="shared" si="4"/>
        <v>5.2000000000000006E-4</v>
      </c>
    </row>
    <row r="19" spans="1:30" x14ac:dyDescent="0.25">
      <c r="A19" s="69" t="s">
        <v>262</v>
      </c>
      <c r="B19" s="69" t="s">
        <v>260</v>
      </c>
      <c r="C19">
        <v>1</v>
      </c>
      <c r="G19" s="69">
        <v>4</v>
      </c>
      <c r="H19" s="69">
        <v>7</v>
      </c>
      <c r="I19" s="70">
        <v>4.8000000000000001E-2</v>
      </c>
      <c r="J19" s="70">
        <v>0.06</v>
      </c>
      <c r="K19" s="69">
        <v>1.048</v>
      </c>
      <c r="L19" s="69">
        <v>1.056</v>
      </c>
      <c r="M19" s="69">
        <v>1.01</v>
      </c>
      <c r="N19" s="69">
        <v>1.0149999999999999</v>
      </c>
      <c r="O19" s="69">
        <v>20</v>
      </c>
      <c r="P19" s="69">
        <v>30</v>
      </c>
      <c r="Q19" s="69">
        <f>(G19+H19)/2</f>
        <v>5.5</v>
      </c>
      <c r="R19" s="72">
        <f t="shared" si="0"/>
        <v>5.4000000000000001E-4</v>
      </c>
      <c r="S19" s="69">
        <f>(K19+L19)/2</f>
        <v>1.052</v>
      </c>
      <c r="T19" s="69">
        <f>(M19+N19)/2</f>
        <v>1.0125</v>
      </c>
      <c r="U19" s="69">
        <f>(O19+P19)/2</f>
        <v>25</v>
      </c>
      <c r="V19" s="69">
        <f>ROUND((U19/(S19*1000-1000)),2)</f>
        <v>0.48</v>
      </c>
      <c r="W19" s="69">
        <f t="shared" si="1"/>
        <v>0.63</v>
      </c>
      <c r="X19" s="69">
        <f t="shared" si="2"/>
        <v>0.36</v>
      </c>
      <c r="AC19">
        <f t="shared" si="3"/>
        <v>4.8000000000000001E-4</v>
      </c>
      <c r="AD19">
        <f t="shared" si="4"/>
        <v>5.9999999999999995E-4</v>
      </c>
    </row>
    <row r="20" spans="1:30" x14ac:dyDescent="0.25">
      <c r="A20" s="69" t="s">
        <v>263</v>
      </c>
      <c r="B20" s="69" t="s">
        <v>260</v>
      </c>
      <c r="F20">
        <v>1</v>
      </c>
      <c r="G20" s="69">
        <v>2</v>
      </c>
      <c r="H20" s="69">
        <v>5</v>
      </c>
      <c r="I20" s="70">
        <v>4.4000000000000004E-2</v>
      </c>
      <c r="J20" s="70">
        <v>5.2000000000000005E-2</v>
      </c>
      <c r="K20" s="69">
        <v>1.044</v>
      </c>
      <c r="L20" s="69">
        <v>1.05</v>
      </c>
      <c r="M20" s="69">
        <v>1.008</v>
      </c>
      <c r="N20" s="69">
        <v>1.0129999999999999</v>
      </c>
      <c r="O20" s="69">
        <v>22</v>
      </c>
      <c r="P20" s="69">
        <v>40</v>
      </c>
      <c r="Q20" s="69">
        <f>(G20+H20)/2</f>
        <v>3.5</v>
      </c>
      <c r="R20" s="72">
        <f t="shared" si="0"/>
        <v>4.8000000000000001E-4</v>
      </c>
      <c r="S20" s="69">
        <f>(K20+L20)/2</f>
        <v>1.0470000000000002</v>
      </c>
      <c r="T20" s="69">
        <f>(M20+N20)/2</f>
        <v>1.0105</v>
      </c>
      <c r="U20" s="69">
        <f>(O20+P20)/2</f>
        <v>31</v>
      </c>
      <c r="V20" s="69">
        <f>ROUND((U20/(S20*1000-1000)),2)</f>
        <v>0.66</v>
      </c>
      <c r="W20" s="69">
        <f t="shared" si="1"/>
        <v>0.91</v>
      </c>
      <c r="X20" s="69">
        <f t="shared" si="2"/>
        <v>0.44</v>
      </c>
      <c r="AC20">
        <f t="shared" si="3"/>
        <v>4.4000000000000007E-4</v>
      </c>
      <c r="AD20">
        <f t="shared" si="4"/>
        <v>5.2000000000000006E-4</v>
      </c>
    </row>
    <row r="21" spans="1:30" x14ac:dyDescent="0.25">
      <c r="A21" s="69" t="s">
        <v>264</v>
      </c>
      <c r="B21" s="69" t="s">
        <v>265</v>
      </c>
      <c r="D21">
        <v>1</v>
      </c>
      <c r="G21" s="69">
        <v>8</v>
      </c>
      <c r="H21" s="69">
        <v>17</v>
      </c>
      <c r="I21" s="70">
        <v>5.7999999999999996E-2</v>
      </c>
      <c r="J21" s="70">
        <v>6.3E-2</v>
      </c>
      <c r="K21" s="69">
        <v>1.054</v>
      </c>
      <c r="L21" s="69">
        <v>1.06</v>
      </c>
      <c r="M21" s="69">
        <v>1.01</v>
      </c>
      <c r="N21" s="69">
        <v>1.014</v>
      </c>
      <c r="O21" s="69">
        <v>18</v>
      </c>
      <c r="P21" s="69">
        <v>24</v>
      </c>
      <c r="Q21" s="69">
        <f>(G21+H21)/2</f>
        <v>12.5</v>
      </c>
      <c r="R21" s="72">
        <f t="shared" si="0"/>
        <v>6.0499999999999996E-4</v>
      </c>
      <c r="S21" s="69">
        <f>(K21+L21)/2</f>
        <v>1.0569999999999999</v>
      </c>
      <c r="T21" s="69">
        <f>(M21+N21)/2</f>
        <v>1.012</v>
      </c>
      <c r="U21" s="69">
        <f>(O21+P21)/2</f>
        <v>21</v>
      </c>
      <c r="V21" s="69">
        <f>ROUND((U21/(S21*1000-1000)),2)</f>
        <v>0.37</v>
      </c>
      <c r="W21" s="69">
        <f t="shared" si="1"/>
        <v>0.44</v>
      </c>
      <c r="X21" s="69">
        <f t="shared" si="2"/>
        <v>0.3</v>
      </c>
      <c r="AC21">
        <f t="shared" si="3"/>
        <v>5.8E-4</v>
      </c>
      <c r="AD21">
        <f t="shared" si="4"/>
        <v>6.3000000000000003E-4</v>
      </c>
    </row>
    <row r="22" spans="1:30" x14ac:dyDescent="0.25">
      <c r="A22" s="69" t="s">
        <v>266</v>
      </c>
      <c r="B22" s="69" t="s">
        <v>265</v>
      </c>
      <c r="D22">
        <v>1</v>
      </c>
      <c r="G22" s="69">
        <v>12</v>
      </c>
      <c r="H22" s="69">
        <v>22</v>
      </c>
      <c r="I22" s="70">
        <v>4.8000000000000001E-2</v>
      </c>
      <c r="J22" s="70">
        <v>0.06</v>
      </c>
      <c r="K22" s="69">
        <v>1.05</v>
      </c>
      <c r="L22" s="69">
        <v>1.0569999999999999</v>
      </c>
      <c r="M22" s="69">
        <v>1.012</v>
      </c>
      <c r="N22" s="69">
        <v>1.016</v>
      </c>
      <c r="O22" s="69">
        <v>20</v>
      </c>
      <c r="P22" s="69">
        <v>30</v>
      </c>
      <c r="Q22" s="69">
        <f>(G22+H22)/2</f>
        <v>17</v>
      </c>
      <c r="R22" s="72">
        <f t="shared" si="0"/>
        <v>5.4000000000000001E-4</v>
      </c>
      <c r="S22" s="69">
        <f>(K22+L22)/2</f>
        <v>1.0535000000000001</v>
      </c>
      <c r="T22" s="69">
        <f>(M22+N22)/2</f>
        <v>1.014</v>
      </c>
      <c r="U22" s="69">
        <f>(O22+P22)/2</f>
        <v>25</v>
      </c>
      <c r="V22" s="69">
        <f>ROUND((U22/(S22*1000-1000)),2)</f>
        <v>0.47</v>
      </c>
      <c r="W22" s="69">
        <f t="shared" si="1"/>
        <v>0.6</v>
      </c>
      <c r="X22" s="69">
        <f t="shared" si="2"/>
        <v>0.35</v>
      </c>
      <c r="AC22">
        <f t="shared" si="3"/>
        <v>4.8000000000000001E-4</v>
      </c>
      <c r="AD22">
        <f t="shared" si="4"/>
        <v>5.9999999999999995E-4</v>
      </c>
    </row>
    <row r="23" spans="1:30" x14ac:dyDescent="0.25">
      <c r="A23" s="69" t="s">
        <v>267</v>
      </c>
      <c r="B23" s="69" t="s">
        <v>265</v>
      </c>
      <c r="D23">
        <v>1</v>
      </c>
      <c r="G23" s="69">
        <v>14</v>
      </c>
      <c r="H23" s="69">
        <v>22</v>
      </c>
      <c r="I23" s="70">
        <v>6.3E-2</v>
      </c>
      <c r="J23" s="70">
        <v>7.2000000000000008E-2</v>
      </c>
      <c r="K23" s="69">
        <v>1.0640000000000001</v>
      </c>
      <c r="L23" s="69">
        <v>1.0720000000000001</v>
      </c>
      <c r="M23" s="69">
        <v>1.0129999999999999</v>
      </c>
      <c r="N23" s="69">
        <v>1.0189999999999999</v>
      </c>
      <c r="O23" s="69">
        <v>20</v>
      </c>
      <c r="P23" s="69">
        <v>27</v>
      </c>
      <c r="Q23" s="69">
        <f>(G23+H23)/2</f>
        <v>18</v>
      </c>
      <c r="R23" s="72">
        <f t="shared" si="0"/>
        <v>6.7500000000000004E-4</v>
      </c>
      <c r="S23" s="69">
        <f>(K23+L23)/2</f>
        <v>1.0680000000000001</v>
      </c>
      <c r="T23" s="69">
        <f>(M23+N23)/2</f>
        <v>1.016</v>
      </c>
      <c r="U23" s="69">
        <f>(O23+P23)/2</f>
        <v>23.5</v>
      </c>
      <c r="V23" s="69">
        <f>ROUND((U23/(S23*1000-1000)),2)</f>
        <v>0.35</v>
      </c>
      <c r="W23" s="69">
        <f t="shared" si="1"/>
        <v>0.42</v>
      </c>
      <c r="X23" s="69">
        <f t="shared" si="2"/>
        <v>0.28000000000000003</v>
      </c>
      <c r="AC23">
        <f t="shared" si="3"/>
        <v>6.3000000000000003E-4</v>
      </c>
      <c r="AD23">
        <f t="shared" si="4"/>
        <v>7.2000000000000005E-4</v>
      </c>
    </row>
    <row r="24" spans="1:30" x14ac:dyDescent="0.25">
      <c r="A24" s="69" t="s">
        <v>268</v>
      </c>
      <c r="B24" s="69" t="s">
        <v>269</v>
      </c>
      <c r="C24">
        <v>1</v>
      </c>
      <c r="G24" s="69">
        <v>9</v>
      </c>
      <c r="H24" s="69">
        <v>15</v>
      </c>
      <c r="I24" s="70">
        <v>4.7E-2</v>
      </c>
      <c r="J24" s="70">
        <v>5.5E-2</v>
      </c>
      <c r="K24" s="69">
        <v>1.048</v>
      </c>
      <c r="L24" s="69">
        <v>1.0549999999999999</v>
      </c>
      <c r="M24" s="69">
        <v>1.01</v>
      </c>
      <c r="N24" s="69">
        <v>1.014</v>
      </c>
      <c r="O24" s="69">
        <v>18</v>
      </c>
      <c r="P24" s="69">
        <v>32</v>
      </c>
      <c r="Q24" s="69">
        <f>(G24+H24)/2</f>
        <v>12</v>
      </c>
      <c r="R24" s="72">
        <f t="shared" si="0"/>
        <v>5.1000000000000004E-4</v>
      </c>
      <c r="S24" s="69">
        <f>(K24+L24)/2</f>
        <v>1.0514999999999999</v>
      </c>
      <c r="T24" s="69">
        <f>(M24+N24)/2</f>
        <v>1.012</v>
      </c>
      <c r="U24" s="69">
        <f>(O24+P24)/2</f>
        <v>25</v>
      </c>
      <c r="V24" s="69">
        <f>ROUND((U24/(S24*1000-1000)),2)</f>
        <v>0.49</v>
      </c>
      <c r="W24" s="69">
        <f t="shared" si="1"/>
        <v>0.67</v>
      </c>
      <c r="X24" s="69">
        <f t="shared" si="2"/>
        <v>0.33</v>
      </c>
      <c r="AC24">
        <f t="shared" si="3"/>
        <v>4.6999999999999999E-4</v>
      </c>
      <c r="AD24">
        <f t="shared" si="4"/>
        <v>5.5000000000000003E-4</v>
      </c>
    </row>
    <row r="25" spans="1:30" x14ac:dyDescent="0.25">
      <c r="A25" s="69" t="s">
        <v>270</v>
      </c>
      <c r="B25" s="69" t="s">
        <v>269</v>
      </c>
      <c r="F25">
        <v>1</v>
      </c>
      <c r="G25" s="69">
        <v>11</v>
      </c>
      <c r="H25" s="69">
        <v>17</v>
      </c>
      <c r="I25" s="70">
        <v>4.2999999999999997E-2</v>
      </c>
      <c r="J25" s="70">
        <v>5.5E-2</v>
      </c>
      <c r="K25" s="69">
        <v>1.044</v>
      </c>
      <c r="L25" s="69">
        <v>1.052</v>
      </c>
      <c r="M25" s="69">
        <v>1.008</v>
      </c>
      <c r="N25" s="69">
        <v>1.014</v>
      </c>
      <c r="O25" s="69">
        <v>25</v>
      </c>
      <c r="P25" s="69">
        <v>50</v>
      </c>
      <c r="Q25" s="69">
        <f>(G25+H25)/2</f>
        <v>14</v>
      </c>
      <c r="R25" s="72">
        <f t="shared" si="0"/>
        <v>4.8999999999999998E-4</v>
      </c>
      <c r="S25" s="69">
        <f>(K25+L25)/2</f>
        <v>1.048</v>
      </c>
      <c r="T25" s="69">
        <f>(M25+N25)/2</f>
        <v>1.0110000000000001</v>
      </c>
      <c r="U25" s="69">
        <f>(O25+P25)/2</f>
        <v>37.5</v>
      </c>
      <c r="V25" s="69">
        <f>ROUND((U25/(S25*1000-1000)),2)</f>
        <v>0.78</v>
      </c>
      <c r="W25" s="69">
        <f t="shared" si="1"/>
        <v>1.1399999999999999</v>
      </c>
      <c r="X25" s="69">
        <f t="shared" si="2"/>
        <v>0.48</v>
      </c>
      <c r="AC25">
        <f t="shared" si="3"/>
        <v>4.2999999999999999E-4</v>
      </c>
      <c r="AD25">
        <f t="shared" si="4"/>
        <v>5.5000000000000003E-4</v>
      </c>
    </row>
    <row r="26" spans="1:30" x14ac:dyDescent="0.25">
      <c r="A26" s="69" t="s">
        <v>271</v>
      </c>
      <c r="B26" s="69" t="s">
        <v>269</v>
      </c>
      <c r="C26">
        <v>1</v>
      </c>
      <c r="G26" s="69">
        <v>7</v>
      </c>
      <c r="H26" s="69">
        <v>17</v>
      </c>
      <c r="I26" s="70">
        <v>4.8000000000000001E-2</v>
      </c>
      <c r="J26" s="70">
        <v>5.4000000000000006E-2</v>
      </c>
      <c r="K26" s="69">
        <v>1.048</v>
      </c>
      <c r="L26" s="69">
        <v>1.054</v>
      </c>
      <c r="M26" s="69">
        <v>1.012</v>
      </c>
      <c r="N26" s="69">
        <v>1.016</v>
      </c>
      <c r="O26" s="69">
        <v>25</v>
      </c>
      <c r="P26" s="69">
        <v>40</v>
      </c>
      <c r="Q26" s="69">
        <f>(G26+H26)/2</f>
        <v>12</v>
      </c>
      <c r="R26" s="72">
        <f t="shared" si="0"/>
        <v>5.1000000000000004E-4</v>
      </c>
      <c r="S26" s="69">
        <f>(K26+L26)/2</f>
        <v>1.0510000000000002</v>
      </c>
      <c r="T26" s="69">
        <f>(M26+N26)/2</f>
        <v>1.014</v>
      </c>
      <c r="U26" s="69">
        <f>(O26+P26)/2</f>
        <v>32.5</v>
      </c>
      <c r="V26" s="69">
        <f>ROUND((U26/(S26*1000-1000)),2)</f>
        <v>0.64</v>
      </c>
      <c r="W26" s="69">
        <f t="shared" si="1"/>
        <v>0.83</v>
      </c>
      <c r="X26" s="69">
        <f t="shared" si="2"/>
        <v>0.46</v>
      </c>
      <c r="AC26">
        <f t="shared" si="3"/>
        <v>4.8000000000000001E-4</v>
      </c>
      <c r="AD26">
        <f t="shared" si="4"/>
        <v>5.4000000000000012E-4</v>
      </c>
    </row>
    <row r="27" spans="1:30" x14ac:dyDescent="0.25">
      <c r="A27" s="69" t="s">
        <v>272</v>
      </c>
      <c r="B27" s="69" t="s">
        <v>269</v>
      </c>
      <c r="C27">
        <v>1</v>
      </c>
      <c r="G27" s="69">
        <v>3</v>
      </c>
      <c r="H27" s="69">
        <v>7</v>
      </c>
      <c r="I27" s="70">
        <v>4.7E-2</v>
      </c>
      <c r="J27" s="70">
        <v>5.4000000000000006E-2</v>
      </c>
      <c r="K27" s="69">
        <v>1.0449999999999999</v>
      </c>
      <c r="L27" s="69">
        <v>1.0509999999999999</v>
      </c>
      <c r="M27" s="69">
        <v>1.008</v>
      </c>
      <c r="N27" s="69">
        <v>1.012</v>
      </c>
      <c r="O27" s="69">
        <v>20</v>
      </c>
      <c r="P27" s="69">
        <v>35</v>
      </c>
      <c r="Q27" s="69">
        <f>(G27+H27)/2</f>
        <v>5</v>
      </c>
      <c r="R27" s="72">
        <f t="shared" si="0"/>
        <v>5.0500000000000002E-4</v>
      </c>
      <c r="S27" s="69">
        <f>(K27+L27)/2</f>
        <v>1.048</v>
      </c>
      <c r="T27" s="69">
        <f>(M27+N27)/2</f>
        <v>1.01</v>
      </c>
      <c r="U27" s="69">
        <f>(O27+P27)/2</f>
        <v>27.5</v>
      </c>
      <c r="V27" s="69">
        <f>ROUND((U27/(S27*1000-1000)),2)</f>
        <v>0.56999999999999995</v>
      </c>
      <c r="W27" s="69">
        <f t="shared" si="1"/>
        <v>0.78</v>
      </c>
      <c r="X27" s="69">
        <f t="shared" si="2"/>
        <v>0.39</v>
      </c>
      <c r="AC27">
        <f t="shared" si="3"/>
        <v>4.6999999999999999E-4</v>
      </c>
      <c r="AD27">
        <f t="shared" si="4"/>
        <v>5.4000000000000012E-4</v>
      </c>
    </row>
    <row r="28" spans="1:30" x14ac:dyDescent="0.25">
      <c r="A28" s="69" t="s">
        <v>273</v>
      </c>
      <c r="B28" s="69" t="s">
        <v>274</v>
      </c>
      <c r="D28">
        <v>1</v>
      </c>
      <c r="G28" s="69">
        <v>14</v>
      </c>
      <c r="H28" s="69">
        <v>28</v>
      </c>
      <c r="I28" s="70">
        <v>4.4999999999999998E-2</v>
      </c>
      <c r="J28" s="70">
        <v>5.5999999999999994E-2</v>
      </c>
      <c r="K28" s="69">
        <v>1.048</v>
      </c>
      <c r="L28" s="69">
        <v>1.056</v>
      </c>
      <c r="M28" s="69">
        <v>1.01</v>
      </c>
      <c r="N28" s="69">
        <v>1.016</v>
      </c>
      <c r="O28" s="69">
        <v>18</v>
      </c>
      <c r="P28" s="69">
        <v>28</v>
      </c>
      <c r="Q28" s="69">
        <f>(G28+H28)/2</f>
        <v>21</v>
      </c>
      <c r="R28" s="72">
        <f t="shared" si="0"/>
        <v>5.0499999999999992E-4</v>
      </c>
      <c r="S28" s="69">
        <f>(K28+L28)/2</f>
        <v>1.052</v>
      </c>
      <c r="T28" s="69">
        <f>(M28+N28)/2</f>
        <v>1.0129999999999999</v>
      </c>
      <c r="U28" s="69">
        <f>(O28+P28)/2</f>
        <v>23</v>
      </c>
      <c r="V28" s="69">
        <f>ROUND((U28/(S28*1000-1000)),2)</f>
        <v>0.44</v>
      </c>
      <c r="W28" s="69">
        <f t="shared" si="1"/>
        <v>0.57999999999999996</v>
      </c>
      <c r="X28" s="69">
        <f t="shared" si="2"/>
        <v>0.32</v>
      </c>
      <c r="AC28">
        <f t="shared" si="3"/>
        <v>4.4999999999999999E-4</v>
      </c>
      <c r="AD28">
        <f t="shared" si="4"/>
        <v>5.5999999999999995E-4</v>
      </c>
    </row>
    <row r="29" spans="1:30" x14ac:dyDescent="0.25">
      <c r="A29" s="69" t="s">
        <v>275</v>
      </c>
      <c r="B29" s="69" t="s">
        <v>274</v>
      </c>
      <c r="C29">
        <v>1</v>
      </c>
      <c r="G29" s="69">
        <v>17</v>
      </c>
      <c r="H29" s="69">
        <v>30</v>
      </c>
      <c r="I29" s="70">
        <v>4.4000000000000004E-2</v>
      </c>
      <c r="J29" s="70">
        <v>5.4000000000000006E-2</v>
      </c>
      <c r="K29" s="69">
        <v>1.046</v>
      </c>
      <c r="L29" s="69">
        <v>1.052</v>
      </c>
      <c r="M29" s="69">
        <v>1.01</v>
      </c>
      <c r="N29" s="69">
        <v>1.016</v>
      </c>
      <c r="O29" s="69">
        <v>20</v>
      </c>
      <c r="P29" s="69">
        <v>30</v>
      </c>
      <c r="Q29" s="69">
        <f>(G29+H29)/2</f>
        <v>23.5</v>
      </c>
      <c r="R29" s="72">
        <f t="shared" si="0"/>
        <v>4.8999999999999998E-4</v>
      </c>
      <c r="S29" s="69">
        <f>(K29+L29)/2</f>
        <v>1.0489999999999999</v>
      </c>
      <c r="T29" s="69">
        <f>(M29+N29)/2</f>
        <v>1.0129999999999999</v>
      </c>
      <c r="U29" s="69">
        <f>(O29+P29)/2</f>
        <v>25</v>
      </c>
      <c r="V29" s="69">
        <f>ROUND((U29/(S29*1000-1000)),2)</f>
        <v>0.51</v>
      </c>
      <c r="W29" s="69">
        <f t="shared" si="1"/>
        <v>0.65</v>
      </c>
      <c r="X29" s="69">
        <f t="shared" si="2"/>
        <v>0.38</v>
      </c>
      <c r="AC29">
        <f t="shared" si="3"/>
        <v>4.4000000000000007E-4</v>
      </c>
      <c r="AD29">
        <f t="shared" si="4"/>
        <v>5.4000000000000012E-4</v>
      </c>
    </row>
    <row r="30" spans="1:30" x14ac:dyDescent="0.25">
      <c r="A30" s="69" t="s">
        <v>276</v>
      </c>
      <c r="B30" s="69" t="s">
        <v>277</v>
      </c>
      <c r="D30">
        <v>1</v>
      </c>
      <c r="G30" s="69">
        <v>6</v>
      </c>
      <c r="H30" s="69">
        <v>25</v>
      </c>
      <c r="I30" s="70">
        <v>7.0000000000000007E-2</v>
      </c>
      <c r="J30" s="70">
        <v>0.1</v>
      </c>
      <c r="K30" s="69">
        <v>1.0720000000000001</v>
      </c>
      <c r="L30" s="69">
        <v>1.1120000000000001</v>
      </c>
      <c r="M30" s="69">
        <v>1.016</v>
      </c>
      <c r="N30" s="69">
        <v>1.024</v>
      </c>
      <c r="O30" s="69">
        <v>16</v>
      </c>
      <c r="P30" s="69">
        <v>26</v>
      </c>
      <c r="Q30" s="69">
        <f>(G30+H30)/2</f>
        <v>15.5</v>
      </c>
      <c r="R30" s="72">
        <f t="shared" si="0"/>
        <v>8.5000000000000006E-4</v>
      </c>
      <c r="S30" s="69">
        <f>(K30+L30)/2</f>
        <v>1.0920000000000001</v>
      </c>
      <c r="T30" s="69">
        <f>(M30+N30)/2</f>
        <v>1.02</v>
      </c>
      <c r="U30" s="69">
        <f>(O30+P30)/2</f>
        <v>21</v>
      </c>
      <c r="V30" s="69">
        <f>ROUND((U30/(S30*1000-1000)),2)</f>
        <v>0.23</v>
      </c>
      <c r="W30" s="69">
        <f t="shared" si="1"/>
        <v>0.36</v>
      </c>
      <c r="X30" s="69">
        <f t="shared" si="2"/>
        <v>0.14000000000000001</v>
      </c>
      <c r="AC30">
        <f t="shared" si="3"/>
        <v>7.000000000000001E-4</v>
      </c>
      <c r="AD30">
        <f t="shared" si="4"/>
        <v>1E-3</v>
      </c>
    </row>
    <row r="31" spans="1:30" x14ac:dyDescent="0.25">
      <c r="A31" s="69" t="s">
        <v>278</v>
      </c>
      <c r="B31" s="69" t="s">
        <v>277</v>
      </c>
      <c r="D31">
        <v>1</v>
      </c>
      <c r="G31" s="69">
        <v>18</v>
      </c>
      <c r="H31" s="69">
        <v>30</v>
      </c>
      <c r="I31" s="70">
        <v>0.09</v>
      </c>
      <c r="J31" s="70">
        <v>0.14000000000000001</v>
      </c>
      <c r="K31" s="69">
        <v>1.0780000000000001</v>
      </c>
      <c r="L31" s="69">
        <v>1.1200000000000001</v>
      </c>
      <c r="M31" s="69">
        <v>1.02</v>
      </c>
      <c r="N31" s="69">
        <v>1.0349999999999999</v>
      </c>
      <c r="O31" s="69">
        <v>25</v>
      </c>
      <c r="P31" s="69">
        <v>35</v>
      </c>
      <c r="Q31" s="69">
        <f>(G31+H31)/2</f>
        <v>24</v>
      </c>
      <c r="R31" s="72">
        <f t="shared" si="0"/>
        <v>1.15E-3</v>
      </c>
      <c r="S31" s="69">
        <f>(K31+L31)/2</f>
        <v>1.0990000000000002</v>
      </c>
      <c r="T31" s="69">
        <f>(M31+N31)/2</f>
        <v>1.0274999999999999</v>
      </c>
      <c r="U31" s="69">
        <f>(O31+P31)/2</f>
        <v>30</v>
      </c>
      <c r="V31" s="69">
        <f>ROUND((U31/(S31*1000-1000)),2)</f>
        <v>0.3</v>
      </c>
      <c r="W31" s="69">
        <f t="shared" si="1"/>
        <v>0.45</v>
      </c>
      <c r="X31" s="69">
        <f t="shared" si="2"/>
        <v>0.21</v>
      </c>
      <c r="AC31">
        <f t="shared" si="3"/>
        <v>8.9999999999999998E-4</v>
      </c>
      <c r="AD31">
        <f t="shared" si="4"/>
        <v>1.4000000000000002E-3</v>
      </c>
    </row>
    <row r="32" spans="1:30" x14ac:dyDescent="0.25">
      <c r="A32" s="69" t="s">
        <v>279</v>
      </c>
      <c r="B32" s="69" t="s">
        <v>277</v>
      </c>
      <c r="D32">
        <v>1</v>
      </c>
      <c r="G32" s="69">
        <v>17</v>
      </c>
      <c r="H32" s="69">
        <v>30</v>
      </c>
      <c r="I32" s="70">
        <v>6.5000000000000002E-2</v>
      </c>
      <c r="J32" s="70">
        <v>9.5000000000000001E-2</v>
      </c>
      <c r="K32" s="69">
        <v>1.06</v>
      </c>
      <c r="L32" s="69">
        <v>1.0900000000000001</v>
      </c>
      <c r="M32" s="69">
        <v>1.016</v>
      </c>
      <c r="N32" s="69">
        <v>1.024</v>
      </c>
      <c r="O32" s="69">
        <v>20</v>
      </c>
      <c r="P32" s="69">
        <v>40</v>
      </c>
      <c r="Q32" s="69">
        <f>(G32+H32)/2</f>
        <v>23.5</v>
      </c>
      <c r="R32" s="72">
        <f t="shared" si="0"/>
        <v>8.0000000000000004E-4</v>
      </c>
      <c r="S32" s="69">
        <f>(K32+L32)/2</f>
        <v>1.0750000000000002</v>
      </c>
      <c r="T32" s="69">
        <f>(M32+N32)/2</f>
        <v>1.02</v>
      </c>
      <c r="U32" s="69">
        <f>(O32+P32)/2</f>
        <v>30</v>
      </c>
      <c r="V32" s="69">
        <f>ROUND((U32/(S32*1000-1000)),2)</f>
        <v>0.4</v>
      </c>
      <c r="W32" s="69">
        <f t="shared" si="1"/>
        <v>0.67</v>
      </c>
      <c r="X32" s="69">
        <f t="shared" si="2"/>
        <v>0.22</v>
      </c>
      <c r="AC32">
        <f t="shared" si="3"/>
        <v>6.4999999999999997E-4</v>
      </c>
      <c r="AD32">
        <f t="shared" si="4"/>
        <v>9.5E-4</v>
      </c>
    </row>
    <row r="33" spans="1:30" x14ac:dyDescent="0.25">
      <c r="A33" s="69" t="s">
        <v>280</v>
      </c>
      <c r="B33" s="69" t="s">
        <v>281</v>
      </c>
      <c r="D33">
        <v>1</v>
      </c>
      <c r="G33" s="69">
        <v>2</v>
      </c>
      <c r="H33" s="69">
        <v>6</v>
      </c>
      <c r="I33" s="70">
        <v>4.2999999999999997E-2</v>
      </c>
      <c r="J33" s="70">
        <v>5.5999999999999994E-2</v>
      </c>
      <c r="K33" s="69">
        <v>1.044</v>
      </c>
      <c r="L33" s="69">
        <v>1.052</v>
      </c>
      <c r="M33" s="69">
        <v>1.01</v>
      </c>
      <c r="N33" s="69">
        <v>1.014</v>
      </c>
      <c r="O33" s="69">
        <v>8</v>
      </c>
      <c r="P33" s="69">
        <v>15</v>
      </c>
      <c r="Q33" s="69">
        <f>(G33+H33)/2</f>
        <v>4</v>
      </c>
      <c r="R33" s="72">
        <f t="shared" si="0"/>
        <v>4.95E-4</v>
      </c>
      <c r="S33" s="69">
        <f>(K33+L33)/2</f>
        <v>1.048</v>
      </c>
      <c r="T33" s="69">
        <f>(M33+N33)/2</f>
        <v>1.012</v>
      </c>
      <c r="U33" s="69">
        <f>(O33+P33)/2</f>
        <v>11.5</v>
      </c>
      <c r="V33" s="69">
        <f>ROUND((U33/(S33*1000-1000)),2)</f>
        <v>0.24</v>
      </c>
      <c r="W33" s="69">
        <f t="shared" si="1"/>
        <v>0.34</v>
      </c>
      <c r="X33" s="69">
        <f t="shared" si="2"/>
        <v>0.15</v>
      </c>
      <c r="AC33">
        <f t="shared" si="3"/>
        <v>4.2999999999999999E-4</v>
      </c>
      <c r="AD33">
        <f t="shared" si="4"/>
        <v>5.5999999999999995E-4</v>
      </c>
    </row>
    <row r="34" spans="1:30" x14ac:dyDescent="0.25">
      <c r="A34" s="69" t="s">
        <v>282</v>
      </c>
      <c r="B34" s="69" t="s">
        <v>281</v>
      </c>
      <c r="D34">
        <v>1</v>
      </c>
      <c r="G34" s="69">
        <v>14</v>
      </c>
      <c r="H34" s="69">
        <v>23</v>
      </c>
      <c r="I34" s="70">
        <v>4.2999999999999997E-2</v>
      </c>
      <c r="J34" s="70">
        <v>5.5999999999999994E-2</v>
      </c>
      <c r="K34" s="69">
        <v>1.044</v>
      </c>
      <c r="L34" s="69">
        <v>1.056</v>
      </c>
      <c r="M34" s="69">
        <v>1.01</v>
      </c>
      <c r="N34" s="69">
        <v>1.014</v>
      </c>
      <c r="O34" s="69">
        <v>10</v>
      </c>
      <c r="P34" s="69">
        <v>18</v>
      </c>
      <c r="Q34" s="69">
        <f>(G34+H34)/2</f>
        <v>18.5</v>
      </c>
      <c r="R34" s="72">
        <f t="shared" ref="R34:R65" si="5">(I34+J34)/200</f>
        <v>4.95E-4</v>
      </c>
      <c r="S34" s="69">
        <f>(K34+L34)/2</f>
        <v>1.05</v>
      </c>
      <c r="T34" s="69">
        <f>(M34+N34)/2</f>
        <v>1.012</v>
      </c>
      <c r="U34" s="69">
        <f>(O34+P34)/2</f>
        <v>14</v>
      </c>
      <c r="V34" s="69">
        <f>ROUND((U34/(S34*1000-1000)),2)</f>
        <v>0.28000000000000003</v>
      </c>
      <c r="W34" s="69">
        <f t="shared" ref="W34:W65" si="6">ROUND((P34/(K34*1000-1000)),2)</f>
        <v>0.41</v>
      </c>
      <c r="X34" s="69">
        <f t="shared" ref="X34:X65" si="7">ROUND((O34/(L34*1000-1000)),2)</f>
        <v>0.18</v>
      </c>
      <c r="AC34">
        <f t="shared" si="3"/>
        <v>4.2999999999999999E-4</v>
      </c>
      <c r="AD34">
        <f t="shared" si="4"/>
        <v>5.5999999999999995E-4</v>
      </c>
    </row>
    <row r="35" spans="1:30" x14ac:dyDescent="0.25">
      <c r="A35" s="69" t="s">
        <v>283</v>
      </c>
      <c r="B35" s="69" t="s">
        <v>281</v>
      </c>
      <c r="D35">
        <v>1</v>
      </c>
      <c r="G35" s="69">
        <v>6</v>
      </c>
      <c r="H35" s="69">
        <v>25</v>
      </c>
      <c r="I35" s="70">
        <v>6.5000000000000002E-2</v>
      </c>
      <c r="J35" s="70">
        <v>0.09</v>
      </c>
      <c r="K35" s="69">
        <v>1.0640000000000001</v>
      </c>
      <c r="L35" s="69">
        <v>1.0900000000000001</v>
      </c>
      <c r="M35" s="69">
        <v>1.0149999999999999</v>
      </c>
      <c r="N35" s="69">
        <v>1.022</v>
      </c>
      <c r="O35" s="69">
        <v>15</v>
      </c>
      <c r="P35" s="69">
        <v>30</v>
      </c>
      <c r="Q35" s="69">
        <f>(G35+H35)/2</f>
        <v>15.5</v>
      </c>
      <c r="R35" s="72">
        <f t="shared" si="5"/>
        <v>7.7499999999999997E-4</v>
      </c>
      <c r="S35" s="69">
        <f>(K35+L35)/2</f>
        <v>1.077</v>
      </c>
      <c r="T35" s="69">
        <f>(M35+N35)/2</f>
        <v>1.0185</v>
      </c>
      <c r="U35" s="69">
        <f>(O35+P35)/2</f>
        <v>22.5</v>
      </c>
      <c r="V35" s="69">
        <f>ROUND((U35/(S35*1000-1000)),2)</f>
        <v>0.28999999999999998</v>
      </c>
      <c r="W35" s="69">
        <f t="shared" si="6"/>
        <v>0.47</v>
      </c>
      <c r="X35" s="69">
        <f t="shared" si="7"/>
        <v>0.17</v>
      </c>
      <c r="AC35">
        <f t="shared" si="3"/>
        <v>6.4999999999999997E-4</v>
      </c>
      <c r="AD35">
        <f t="shared" si="4"/>
        <v>8.9999999999999998E-4</v>
      </c>
    </row>
    <row r="36" spans="1:30" x14ac:dyDescent="0.25">
      <c r="A36" s="69" t="s">
        <v>284</v>
      </c>
      <c r="B36" s="69" t="s">
        <v>285</v>
      </c>
      <c r="F36">
        <v>1</v>
      </c>
      <c r="G36" s="69">
        <v>8</v>
      </c>
      <c r="H36" s="69">
        <v>14</v>
      </c>
      <c r="I36" s="70">
        <v>3.2000000000000001E-2</v>
      </c>
      <c r="J36" s="70">
        <v>3.7999999999999999E-2</v>
      </c>
      <c r="K36" s="69">
        <v>1.03</v>
      </c>
      <c r="L36" s="69">
        <v>1.0389999999999999</v>
      </c>
      <c r="M36" s="69">
        <v>1.0069999999999999</v>
      </c>
      <c r="N36" s="69">
        <v>1.0109999999999999</v>
      </c>
      <c r="O36" s="69">
        <v>25</v>
      </c>
      <c r="P36" s="69">
        <v>35</v>
      </c>
      <c r="Q36" s="69">
        <f>(G36+H36)/2</f>
        <v>11</v>
      </c>
      <c r="R36" s="72">
        <f t="shared" si="5"/>
        <v>3.5000000000000005E-4</v>
      </c>
      <c r="S36" s="69">
        <f>(K36+L36)/2</f>
        <v>1.0345</v>
      </c>
      <c r="T36" s="69">
        <f>(M36+N36)/2</f>
        <v>1.0089999999999999</v>
      </c>
      <c r="U36" s="69">
        <f>(O36+P36)/2</f>
        <v>30</v>
      </c>
      <c r="V36" s="69">
        <f>ROUND((U36/(S36*1000-1000)),2)</f>
        <v>0.87</v>
      </c>
      <c r="W36" s="69">
        <f t="shared" si="6"/>
        <v>1.17</v>
      </c>
      <c r="X36" s="69">
        <f t="shared" si="7"/>
        <v>0.64</v>
      </c>
      <c r="AC36">
        <f t="shared" si="3"/>
        <v>3.2000000000000003E-4</v>
      </c>
      <c r="AD36">
        <f t="shared" si="4"/>
        <v>3.7999999999999997E-4</v>
      </c>
    </row>
    <row r="37" spans="1:30" x14ac:dyDescent="0.25">
      <c r="A37" s="69" t="s">
        <v>286</v>
      </c>
      <c r="B37" s="69" t="s">
        <v>285</v>
      </c>
      <c r="F37">
        <v>1</v>
      </c>
      <c r="G37" s="69">
        <v>8</v>
      </c>
      <c r="H37" s="69">
        <v>16</v>
      </c>
      <c r="I37" s="70">
        <v>3.7999999999999999E-2</v>
      </c>
      <c r="J37" s="70">
        <v>4.5999999999999999E-2</v>
      </c>
      <c r="K37" s="69">
        <v>1.04</v>
      </c>
      <c r="L37" s="69">
        <v>1.048</v>
      </c>
      <c r="M37" s="69">
        <v>1.008</v>
      </c>
      <c r="N37" s="69">
        <v>1.012</v>
      </c>
      <c r="O37" s="69">
        <v>25</v>
      </c>
      <c r="P37" s="69">
        <v>40</v>
      </c>
      <c r="Q37" s="69">
        <f>(G37+H37)/2</f>
        <v>12</v>
      </c>
      <c r="R37" s="72">
        <f t="shared" si="5"/>
        <v>4.1999999999999996E-4</v>
      </c>
      <c r="S37" s="69">
        <f>(K37+L37)/2</f>
        <v>1.044</v>
      </c>
      <c r="T37" s="69">
        <f>(M37+N37)/2</f>
        <v>1.01</v>
      </c>
      <c r="U37" s="69">
        <f>(O37+P37)/2</f>
        <v>32.5</v>
      </c>
      <c r="V37" s="69">
        <f>ROUND((U37/(S37*1000-1000)),2)</f>
        <v>0.74</v>
      </c>
      <c r="W37" s="69">
        <f t="shared" si="6"/>
        <v>1</v>
      </c>
      <c r="X37" s="69">
        <f t="shared" si="7"/>
        <v>0.52</v>
      </c>
      <c r="AC37">
        <f t="shared" si="3"/>
        <v>3.7999999999999997E-4</v>
      </c>
      <c r="AD37">
        <f t="shared" si="4"/>
        <v>4.6000000000000001E-4</v>
      </c>
    </row>
    <row r="38" spans="1:30" x14ac:dyDescent="0.25">
      <c r="A38" s="69" t="s">
        <v>287</v>
      </c>
      <c r="B38" s="69" t="s">
        <v>285</v>
      </c>
      <c r="F38">
        <v>1</v>
      </c>
      <c r="G38" s="69">
        <v>8</v>
      </c>
      <c r="H38" s="69">
        <v>18</v>
      </c>
      <c r="I38" s="70">
        <v>4.5999999999999999E-2</v>
      </c>
      <c r="J38" s="70">
        <v>6.2E-2</v>
      </c>
      <c r="K38" s="69">
        <v>1.048</v>
      </c>
      <c r="L38" s="69">
        <v>1.06</v>
      </c>
      <c r="M38" s="69">
        <v>1.01</v>
      </c>
      <c r="N38" s="69">
        <v>1.016</v>
      </c>
      <c r="O38" s="69">
        <v>30</v>
      </c>
      <c r="P38" s="69">
        <v>50</v>
      </c>
      <c r="Q38" s="69">
        <f>(G38+H38)/2</f>
        <v>13</v>
      </c>
      <c r="R38" s="72">
        <f t="shared" si="5"/>
        <v>5.4000000000000001E-4</v>
      </c>
      <c r="S38" s="69">
        <f>(K38+L38)/2</f>
        <v>1.054</v>
      </c>
      <c r="T38" s="69">
        <f>(M38+N38)/2</f>
        <v>1.0129999999999999</v>
      </c>
      <c r="U38" s="69">
        <f>(O38+P38)/2</f>
        <v>40</v>
      </c>
      <c r="V38" s="69">
        <f>ROUND((U38/(S38*1000-1000)),2)</f>
        <v>0.74</v>
      </c>
      <c r="W38" s="69">
        <f t="shared" si="6"/>
        <v>1.04</v>
      </c>
      <c r="X38" s="69">
        <f t="shared" si="7"/>
        <v>0.5</v>
      </c>
      <c r="AC38">
        <f t="shared" si="3"/>
        <v>4.6000000000000001E-4</v>
      </c>
      <c r="AD38">
        <f t="shared" si="4"/>
        <v>6.2E-4</v>
      </c>
    </row>
    <row r="39" spans="1:30" x14ac:dyDescent="0.25">
      <c r="A39" s="69" t="s">
        <v>288</v>
      </c>
      <c r="B39" s="69" t="s">
        <v>289</v>
      </c>
      <c r="F39">
        <v>1</v>
      </c>
      <c r="G39" s="69">
        <v>2</v>
      </c>
      <c r="H39" s="69">
        <v>6</v>
      </c>
      <c r="I39" s="70">
        <v>3.7999999999999999E-2</v>
      </c>
      <c r="J39" s="70">
        <v>0.05</v>
      </c>
      <c r="K39" s="69">
        <v>1.038</v>
      </c>
      <c r="L39" s="69">
        <v>1.0529999999999999</v>
      </c>
      <c r="M39" s="69">
        <v>1.006</v>
      </c>
      <c r="N39" s="69">
        <v>1.012</v>
      </c>
      <c r="O39" s="69">
        <v>20</v>
      </c>
      <c r="P39" s="69">
        <v>45</v>
      </c>
      <c r="Q39" s="69">
        <f>(G39+H39)/2</f>
        <v>4</v>
      </c>
      <c r="R39" s="72">
        <f t="shared" si="5"/>
        <v>4.3999999999999996E-4</v>
      </c>
      <c r="S39" s="69">
        <f>(K39+L39)/2</f>
        <v>1.0455000000000001</v>
      </c>
      <c r="T39" s="69">
        <f>(M39+N39)/2</f>
        <v>1.0089999999999999</v>
      </c>
      <c r="U39" s="69">
        <f>(O39+P39)/2</f>
        <v>32.5</v>
      </c>
      <c r="V39" s="69">
        <f>ROUND((U39/(S39*1000-1000)),2)</f>
        <v>0.71</v>
      </c>
      <c r="W39" s="69">
        <f t="shared" si="6"/>
        <v>1.18</v>
      </c>
      <c r="X39" s="69">
        <f t="shared" si="7"/>
        <v>0.38</v>
      </c>
      <c r="AC39">
        <f t="shared" si="3"/>
        <v>3.7999999999999997E-4</v>
      </c>
      <c r="AD39">
        <f t="shared" si="4"/>
        <v>5.0000000000000001E-4</v>
      </c>
    </row>
    <row r="40" spans="1:30" x14ac:dyDescent="0.25">
      <c r="A40" s="69" t="s">
        <v>290</v>
      </c>
      <c r="B40" s="69" t="s">
        <v>289</v>
      </c>
      <c r="F40">
        <v>1</v>
      </c>
      <c r="G40" s="69">
        <v>4</v>
      </c>
      <c r="H40" s="69">
        <v>7</v>
      </c>
      <c r="I40" s="70">
        <v>4.4999999999999998E-2</v>
      </c>
      <c r="J40" s="70">
        <v>0.06</v>
      </c>
      <c r="K40" s="69">
        <v>1.038</v>
      </c>
      <c r="L40" s="69">
        <v>1.05</v>
      </c>
      <c r="M40" s="69">
        <v>1.004</v>
      </c>
      <c r="N40" s="69">
        <v>1.006</v>
      </c>
      <c r="O40" s="69">
        <v>20</v>
      </c>
      <c r="P40" s="69">
        <v>35</v>
      </c>
      <c r="Q40" s="69">
        <f>(G40+H40)/2</f>
        <v>5.5</v>
      </c>
      <c r="R40" s="72">
        <f t="shared" si="5"/>
        <v>5.2499999999999997E-4</v>
      </c>
      <c r="S40" s="69">
        <f>(K40+L40)/2</f>
        <v>1.044</v>
      </c>
      <c r="T40" s="69">
        <f>(M40+N40)/2</f>
        <v>1.0049999999999999</v>
      </c>
      <c r="U40" s="69">
        <f>(O40+P40)/2</f>
        <v>27.5</v>
      </c>
      <c r="V40" s="69">
        <f>ROUND((U40/(S40*1000-1000)),2)</f>
        <v>0.63</v>
      </c>
      <c r="W40" s="69">
        <f t="shared" si="6"/>
        <v>0.92</v>
      </c>
      <c r="X40" s="69">
        <f t="shared" si="7"/>
        <v>0.4</v>
      </c>
      <c r="AC40">
        <f t="shared" si="3"/>
        <v>4.4999999999999999E-4</v>
      </c>
      <c r="AD40">
        <f t="shared" si="4"/>
        <v>5.9999999999999995E-4</v>
      </c>
    </row>
    <row r="41" spans="1:30" x14ac:dyDescent="0.25">
      <c r="A41" s="69" t="s">
        <v>291</v>
      </c>
      <c r="B41" s="69" t="s">
        <v>289</v>
      </c>
      <c r="F41">
        <v>1</v>
      </c>
      <c r="G41" s="69">
        <v>6</v>
      </c>
      <c r="H41" s="69">
        <v>14</v>
      </c>
      <c r="I41" s="70">
        <v>0.05</v>
      </c>
      <c r="J41" s="70">
        <v>7.4999999999999997E-2</v>
      </c>
      <c r="K41" s="69">
        <v>1.05</v>
      </c>
      <c r="L41" s="69">
        <v>1.075</v>
      </c>
      <c r="M41" s="69">
        <v>1.01</v>
      </c>
      <c r="N41" s="69">
        <v>1.018</v>
      </c>
      <c r="O41" s="69">
        <v>40</v>
      </c>
      <c r="P41" s="69">
        <v>60</v>
      </c>
      <c r="Q41" s="69">
        <f>(G41+H41)/2</f>
        <v>10</v>
      </c>
      <c r="R41" s="72">
        <f t="shared" si="5"/>
        <v>6.2500000000000001E-4</v>
      </c>
      <c r="S41" s="69">
        <f>(K41+L41)/2</f>
        <v>1.0625</v>
      </c>
      <c r="T41" s="69">
        <f>(M41+N41)/2</f>
        <v>1.014</v>
      </c>
      <c r="U41" s="69">
        <f>(O41+P41)/2</f>
        <v>50</v>
      </c>
      <c r="V41" s="69">
        <f>ROUND((U41/(S41*1000-1000)),2)</f>
        <v>0.8</v>
      </c>
      <c r="W41" s="69">
        <f t="shared" si="6"/>
        <v>1.2</v>
      </c>
      <c r="X41" s="69">
        <f t="shared" si="7"/>
        <v>0.53</v>
      </c>
      <c r="AC41">
        <f t="shared" si="3"/>
        <v>5.0000000000000001E-4</v>
      </c>
      <c r="AD41">
        <f t="shared" si="4"/>
        <v>7.5000000000000002E-4</v>
      </c>
    </row>
    <row r="42" spans="1:30" x14ac:dyDescent="0.25">
      <c r="A42" s="69" t="s">
        <v>292</v>
      </c>
      <c r="B42" s="69" t="s">
        <v>293</v>
      </c>
      <c r="D42">
        <v>1</v>
      </c>
      <c r="G42" s="69">
        <v>12</v>
      </c>
      <c r="H42" s="69">
        <v>25</v>
      </c>
      <c r="I42" s="70">
        <v>0.03</v>
      </c>
      <c r="J42" s="70">
        <v>3.7999999999999999E-2</v>
      </c>
      <c r="K42" s="69">
        <v>1.03</v>
      </c>
      <c r="L42" s="69">
        <v>1.038</v>
      </c>
      <c r="M42" s="69">
        <v>1.008</v>
      </c>
      <c r="N42" s="69">
        <v>1.0129999999999999</v>
      </c>
      <c r="O42" s="69">
        <v>10</v>
      </c>
      <c r="P42" s="69">
        <v>25</v>
      </c>
      <c r="Q42" s="69">
        <f>(G42+H42)/2</f>
        <v>18.5</v>
      </c>
      <c r="R42" s="72">
        <f t="shared" si="5"/>
        <v>3.4000000000000002E-4</v>
      </c>
      <c r="S42" s="69">
        <f>(K42+L42)/2</f>
        <v>1.034</v>
      </c>
      <c r="T42" s="69">
        <f>(M42+N42)/2</f>
        <v>1.0105</v>
      </c>
      <c r="U42" s="69">
        <f>(O42+P42)/2</f>
        <v>17.5</v>
      </c>
      <c r="V42" s="69">
        <f>ROUND((U42/(S42*1000-1000)),2)</f>
        <v>0.51</v>
      </c>
      <c r="W42" s="69">
        <f t="shared" si="6"/>
        <v>0.83</v>
      </c>
      <c r="X42" s="69">
        <f t="shared" si="7"/>
        <v>0.26</v>
      </c>
      <c r="AC42">
        <f t="shared" si="3"/>
        <v>2.9999999999999997E-4</v>
      </c>
      <c r="AD42">
        <f t="shared" si="4"/>
        <v>3.7999999999999997E-4</v>
      </c>
    </row>
    <row r="43" spans="1:30" x14ac:dyDescent="0.25">
      <c r="A43" s="69" t="s">
        <v>294</v>
      </c>
      <c r="B43" s="69" t="s">
        <v>293</v>
      </c>
      <c r="D43">
        <v>1</v>
      </c>
      <c r="G43" s="69">
        <v>12</v>
      </c>
      <c r="H43" s="69">
        <v>22</v>
      </c>
      <c r="I43" s="70">
        <v>4.2000000000000003E-2</v>
      </c>
      <c r="J43" s="70">
        <v>5.4000000000000006E-2</v>
      </c>
      <c r="K43" s="69">
        <v>1.04</v>
      </c>
      <c r="L43" s="69">
        <v>1.052</v>
      </c>
      <c r="M43" s="69">
        <v>1.008</v>
      </c>
      <c r="N43" s="69">
        <v>1.0129999999999999</v>
      </c>
      <c r="O43" s="69">
        <v>20</v>
      </c>
      <c r="P43" s="69">
        <v>30</v>
      </c>
      <c r="Q43" s="69">
        <f>(G43+H43)/2</f>
        <v>17</v>
      </c>
      <c r="R43" s="72">
        <f t="shared" si="5"/>
        <v>4.8000000000000001E-4</v>
      </c>
      <c r="S43" s="69">
        <f>(K43+L43)/2</f>
        <v>1.046</v>
      </c>
      <c r="T43" s="69">
        <f>(M43+N43)/2</f>
        <v>1.0105</v>
      </c>
      <c r="U43" s="69">
        <f>(O43+P43)/2</f>
        <v>25</v>
      </c>
      <c r="V43" s="69">
        <f>ROUND((U43/(S43*1000-1000)),2)</f>
        <v>0.54</v>
      </c>
      <c r="W43" s="69">
        <f t="shared" si="6"/>
        <v>0.75</v>
      </c>
      <c r="X43" s="69">
        <f t="shared" si="7"/>
        <v>0.38</v>
      </c>
      <c r="AC43">
        <f t="shared" si="3"/>
        <v>4.2000000000000002E-4</v>
      </c>
      <c r="AD43">
        <f t="shared" si="4"/>
        <v>5.4000000000000012E-4</v>
      </c>
    </row>
    <row r="44" spans="1:30" x14ac:dyDescent="0.25">
      <c r="A44" s="69" t="s">
        <v>295</v>
      </c>
      <c r="B44" s="69" t="s">
        <v>293</v>
      </c>
      <c r="D44">
        <v>1</v>
      </c>
      <c r="G44" s="69">
        <v>20</v>
      </c>
      <c r="H44" s="69">
        <v>30</v>
      </c>
      <c r="I44" s="70">
        <v>0.04</v>
      </c>
      <c r="J44" s="70">
        <v>5.4000000000000006E-2</v>
      </c>
      <c r="K44" s="69">
        <v>1.04</v>
      </c>
      <c r="L44" s="69">
        <v>1.052</v>
      </c>
      <c r="M44" s="69">
        <v>1.008</v>
      </c>
      <c r="N44" s="69">
        <v>1.014</v>
      </c>
      <c r="O44" s="69">
        <v>18</v>
      </c>
      <c r="P44" s="69">
        <v>35</v>
      </c>
      <c r="Q44" s="69">
        <f>(G44+H44)/2</f>
        <v>25</v>
      </c>
      <c r="R44" s="72">
        <f t="shared" si="5"/>
        <v>4.6999999999999999E-4</v>
      </c>
      <c r="S44" s="69">
        <f>(K44+L44)/2</f>
        <v>1.046</v>
      </c>
      <c r="T44" s="69">
        <f>(M44+N44)/2</f>
        <v>1.0110000000000001</v>
      </c>
      <c r="U44" s="69">
        <f>(O44+P44)/2</f>
        <v>26.5</v>
      </c>
      <c r="V44" s="69">
        <f>ROUND((U44/(S44*1000-1000)),2)</f>
        <v>0.57999999999999996</v>
      </c>
      <c r="W44" s="69">
        <f t="shared" si="6"/>
        <v>0.88</v>
      </c>
      <c r="X44" s="69">
        <f t="shared" si="7"/>
        <v>0.35</v>
      </c>
      <c r="AC44">
        <f t="shared" si="3"/>
        <v>4.0000000000000002E-4</v>
      </c>
      <c r="AD44">
        <f t="shared" si="4"/>
        <v>5.4000000000000012E-4</v>
      </c>
    </row>
    <row r="45" spans="1:30" x14ac:dyDescent="0.25">
      <c r="A45" s="69" t="s">
        <v>296</v>
      </c>
      <c r="B45" s="69" t="s">
        <v>297</v>
      </c>
      <c r="D45">
        <v>1</v>
      </c>
      <c r="G45" s="69">
        <v>17</v>
      </c>
      <c r="H45" s="69">
        <v>22</v>
      </c>
      <c r="I45" s="70">
        <v>2.5000000000000001E-2</v>
      </c>
      <c r="J45" s="70">
        <v>3.2000000000000001E-2</v>
      </c>
      <c r="K45" s="69">
        <v>1.03</v>
      </c>
      <c r="L45" s="69">
        <v>1.0349999999999999</v>
      </c>
      <c r="M45" s="69">
        <v>1.01</v>
      </c>
      <c r="N45" s="69">
        <v>1.0129999999999999</v>
      </c>
      <c r="O45" s="69">
        <v>10</v>
      </c>
      <c r="P45" s="69">
        <v>20</v>
      </c>
      <c r="Q45" s="69">
        <f>(G45+H45)/2</f>
        <v>19.5</v>
      </c>
      <c r="R45" s="72">
        <f t="shared" si="5"/>
        <v>2.8499999999999999E-4</v>
      </c>
      <c r="S45" s="69">
        <f>(K45+L45)/2</f>
        <v>1.0325</v>
      </c>
      <c r="T45" s="69">
        <f>(M45+N45)/2</f>
        <v>1.0114999999999998</v>
      </c>
      <c r="U45" s="69">
        <f>(O45+P45)/2</f>
        <v>15</v>
      </c>
      <c r="V45" s="69">
        <f>ROUND((U45/(S45*1000-1000)),2)</f>
        <v>0.46</v>
      </c>
      <c r="W45" s="69">
        <f t="shared" si="6"/>
        <v>0.67</v>
      </c>
      <c r="X45" s="69">
        <f t="shared" si="7"/>
        <v>0.28999999999999998</v>
      </c>
      <c r="AC45">
        <f t="shared" si="3"/>
        <v>2.5000000000000001E-4</v>
      </c>
      <c r="AD45">
        <f t="shared" si="4"/>
        <v>3.2000000000000003E-4</v>
      </c>
    </row>
    <row r="46" spans="1:30" x14ac:dyDescent="0.25">
      <c r="A46" s="69" t="s">
        <v>298</v>
      </c>
      <c r="B46" s="69" t="s">
        <v>297</v>
      </c>
      <c r="D46">
        <v>1</v>
      </c>
      <c r="G46" s="69">
        <v>13</v>
      </c>
      <c r="H46" s="69">
        <v>22</v>
      </c>
      <c r="I46" s="70">
        <v>3.2000000000000001E-2</v>
      </c>
      <c r="J46" s="70">
        <v>3.9E-2</v>
      </c>
      <c r="K46" s="69">
        <v>1.0349999999999999</v>
      </c>
      <c r="L46" s="69">
        <v>1.04</v>
      </c>
      <c r="M46" s="69">
        <v>1.01</v>
      </c>
      <c r="N46" s="69">
        <v>1.0149999999999999</v>
      </c>
      <c r="O46" s="69">
        <v>10</v>
      </c>
      <c r="P46" s="69">
        <v>20</v>
      </c>
      <c r="Q46" s="69">
        <f>(G46+H46)/2</f>
        <v>17.5</v>
      </c>
      <c r="R46" s="72">
        <f t="shared" si="5"/>
        <v>3.5500000000000006E-4</v>
      </c>
      <c r="S46" s="69">
        <f>(K46+L46)/2</f>
        <v>1.0375000000000001</v>
      </c>
      <c r="T46" s="69">
        <f>(M46+N46)/2</f>
        <v>1.0125</v>
      </c>
      <c r="U46" s="69">
        <f>(O46+P46)/2</f>
        <v>15</v>
      </c>
      <c r="V46" s="69">
        <f>ROUND((U46/(S46*1000-1000)),2)</f>
        <v>0.4</v>
      </c>
      <c r="W46" s="69">
        <f t="shared" si="6"/>
        <v>0.56999999999999995</v>
      </c>
      <c r="X46" s="69">
        <f t="shared" si="7"/>
        <v>0.25</v>
      </c>
      <c r="AC46">
        <f t="shared" si="3"/>
        <v>3.2000000000000003E-4</v>
      </c>
      <c r="AD46">
        <f t="shared" si="4"/>
        <v>3.8999999999999999E-4</v>
      </c>
    </row>
    <row r="47" spans="1:30" x14ac:dyDescent="0.25">
      <c r="A47" s="69" t="s">
        <v>299</v>
      </c>
      <c r="B47" s="69" t="s">
        <v>297</v>
      </c>
      <c r="D47">
        <v>1</v>
      </c>
      <c r="G47" s="69">
        <v>13</v>
      </c>
      <c r="H47" s="69">
        <v>22</v>
      </c>
      <c r="I47" s="70">
        <v>3.9E-2</v>
      </c>
      <c r="J47" s="70">
        <v>0.06</v>
      </c>
      <c r="K47" s="69">
        <v>1.04</v>
      </c>
      <c r="L47" s="69">
        <v>1.06</v>
      </c>
      <c r="M47" s="69">
        <v>1.01</v>
      </c>
      <c r="N47" s="69">
        <v>1.016</v>
      </c>
      <c r="O47" s="69">
        <v>15</v>
      </c>
      <c r="P47" s="69">
        <v>30</v>
      </c>
      <c r="Q47" s="69">
        <f>(G47+H47)/2</f>
        <v>17.5</v>
      </c>
      <c r="R47" s="72">
        <f t="shared" si="5"/>
        <v>4.95E-4</v>
      </c>
      <c r="S47" s="69">
        <f>(K47+L47)/2</f>
        <v>1.05</v>
      </c>
      <c r="T47" s="69">
        <f>(M47+N47)/2</f>
        <v>1.0129999999999999</v>
      </c>
      <c r="U47" s="69">
        <f>(O47+P47)/2</f>
        <v>22.5</v>
      </c>
      <c r="V47" s="69">
        <f>ROUND((U47/(S47*1000-1000)),2)</f>
        <v>0.45</v>
      </c>
      <c r="W47" s="69">
        <f t="shared" si="6"/>
        <v>0.75</v>
      </c>
      <c r="X47" s="69">
        <f t="shared" si="7"/>
        <v>0.25</v>
      </c>
      <c r="AC47">
        <f t="shared" si="3"/>
        <v>3.8999999999999999E-4</v>
      </c>
      <c r="AD47">
        <f t="shared" si="4"/>
        <v>5.9999999999999995E-4</v>
      </c>
    </row>
    <row r="48" spans="1:30" x14ac:dyDescent="0.25">
      <c r="A48" s="69" t="s">
        <v>300</v>
      </c>
      <c r="B48" s="69" t="s">
        <v>301</v>
      </c>
      <c r="C48">
        <v>1</v>
      </c>
      <c r="G48" s="69">
        <v>9</v>
      </c>
      <c r="H48" s="69">
        <v>14</v>
      </c>
      <c r="I48" s="70">
        <v>3.7999999999999999E-2</v>
      </c>
      <c r="J48" s="70">
        <v>0.05</v>
      </c>
      <c r="K48" s="69">
        <v>1.036</v>
      </c>
      <c r="L48" s="69">
        <v>1.046</v>
      </c>
      <c r="M48" s="69">
        <v>1.01</v>
      </c>
      <c r="N48" s="69">
        <v>1.014</v>
      </c>
      <c r="O48" s="69">
        <v>18</v>
      </c>
      <c r="P48" s="69">
        <v>28</v>
      </c>
      <c r="Q48" s="69">
        <f>(G48+H48)/2</f>
        <v>11.5</v>
      </c>
      <c r="R48" s="72">
        <f t="shared" si="5"/>
        <v>4.3999999999999996E-4</v>
      </c>
      <c r="S48" s="69">
        <f>(K48+L48)/2</f>
        <v>1.0409999999999999</v>
      </c>
      <c r="T48" s="69">
        <f>(M48+N48)/2</f>
        <v>1.012</v>
      </c>
      <c r="U48" s="69">
        <f>(O48+P48)/2</f>
        <v>23</v>
      </c>
      <c r="V48" s="69">
        <f>ROUND((U48/(S48*1000-1000)),2)</f>
        <v>0.56000000000000005</v>
      </c>
      <c r="W48" s="69">
        <f t="shared" si="6"/>
        <v>0.78</v>
      </c>
      <c r="X48" s="69">
        <f t="shared" si="7"/>
        <v>0.39</v>
      </c>
      <c r="AC48">
        <f t="shared" si="3"/>
        <v>3.7999999999999997E-4</v>
      </c>
      <c r="AD48">
        <f t="shared" si="4"/>
        <v>5.0000000000000001E-4</v>
      </c>
    </row>
    <row r="49" spans="1:30" x14ac:dyDescent="0.25">
      <c r="A49" s="69" t="s">
        <v>302</v>
      </c>
      <c r="B49" s="69" t="s">
        <v>301</v>
      </c>
      <c r="F49">
        <v>1</v>
      </c>
      <c r="G49" s="69">
        <v>25</v>
      </c>
      <c r="H49" s="69">
        <v>40</v>
      </c>
      <c r="I49" s="70">
        <v>0.04</v>
      </c>
      <c r="J49" s="70">
        <v>4.4999999999999998E-2</v>
      </c>
      <c r="K49" s="69">
        <v>1.036</v>
      </c>
      <c r="L49" s="69">
        <v>1.044</v>
      </c>
      <c r="M49" s="69">
        <v>1.0069999999999999</v>
      </c>
      <c r="N49" s="69">
        <v>1.0109999999999999</v>
      </c>
      <c r="O49" s="69">
        <v>25</v>
      </c>
      <c r="P49" s="69">
        <v>45</v>
      </c>
      <c r="Q49" s="69">
        <f>(G49+H49)/2</f>
        <v>32.5</v>
      </c>
      <c r="R49" s="72">
        <f t="shared" si="5"/>
        <v>4.2499999999999998E-4</v>
      </c>
      <c r="S49" s="69">
        <f>(K49+L49)/2</f>
        <v>1.04</v>
      </c>
      <c r="T49" s="69">
        <f>(M49+N49)/2</f>
        <v>1.0089999999999999</v>
      </c>
      <c r="U49" s="69">
        <f>(O49+P49)/2</f>
        <v>35</v>
      </c>
      <c r="V49" s="69">
        <f>ROUND((U49/(S49*1000-1000)),2)</f>
        <v>0.88</v>
      </c>
      <c r="W49" s="69">
        <f t="shared" si="6"/>
        <v>1.25</v>
      </c>
      <c r="X49" s="69">
        <f t="shared" si="7"/>
        <v>0.56999999999999995</v>
      </c>
      <c r="AC49">
        <f t="shared" si="3"/>
        <v>4.0000000000000002E-4</v>
      </c>
      <c r="AD49">
        <f t="shared" si="4"/>
        <v>4.4999999999999999E-4</v>
      </c>
    </row>
    <row r="50" spans="1:30" x14ac:dyDescent="0.25">
      <c r="A50" s="69" t="s">
        <v>303</v>
      </c>
      <c r="B50" s="69" t="s">
        <v>301</v>
      </c>
      <c r="F50">
        <v>1</v>
      </c>
      <c r="G50" s="69">
        <v>25</v>
      </c>
      <c r="H50" s="69">
        <v>40</v>
      </c>
      <c r="I50" s="70">
        <v>5.5E-2</v>
      </c>
      <c r="J50" s="70">
        <v>6.5000000000000002E-2</v>
      </c>
      <c r="K50" s="69">
        <v>1.052</v>
      </c>
      <c r="L50" s="69">
        <v>1.0620000000000001</v>
      </c>
      <c r="M50" s="69">
        <v>1.01</v>
      </c>
      <c r="N50" s="69">
        <v>1.014</v>
      </c>
      <c r="O50" s="69">
        <v>35</v>
      </c>
      <c r="P50" s="69">
        <v>50</v>
      </c>
      <c r="Q50" s="69">
        <f>(G50+H50)/2</f>
        <v>32.5</v>
      </c>
      <c r="R50" s="72">
        <f t="shared" si="5"/>
        <v>5.9999999999999995E-4</v>
      </c>
      <c r="S50" s="69">
        <f>(K50+L50)/2</f>
        <v>1.0569999999999999</v>
      </c>
      <c r="T50" s="69">
        <f>(M50+N50)/2</f>
        <v>1.012</v>
      </c>
      <c r="U50" s="69">
        <f>(O50+P50)/2</f>
        <v>42.5</v>
      </c>
      <c r="V50" s="69">
        <f>ROUND((U50/(S50*1000-1000)),2)</f>
        <v>0.75</v>
      </c>
      <c r="W50" s="69">
        <f t="shared" si="6"/>
        <v>0.96</v>
      </c>
      <c r="X50" s="69">
        <f t="shared" si="7"/>
        <v>0.56000000000000005</v>
      </c>
      <c r="AC50">
        <f t="shared" si="3"/>
        <v>5.5000000000000003E-4</v>
      </c>
      <c r="AD50">
        <f t="shared" si="4"/>
        <v>6.4999999999999997E-4</v>
      </c>
    </row>
    <row r="51" spans="1:30" x14ac:dyDescent="0.25">
      <c r="A51" s="69" t="s">
        <v>304</v>
      </c>
      <c r="B51" s="69" t="s">
        <v>305</v>
      </c>
      <c r="D51">
        <v>1</v>
      </c>
      <c r="G51" s="69">
        <v>30</v>
      </c>
      <c r="H51" s="69">
        <v>40</v>
      </c>
      <c r="I51" s="70">
        <v>0.04</v>
      </c>
      <c r="J51" s="70">
        <v>0.06</v>
      </c>
      <c r="K51" s="69">
        <v>1.044</v>
      </c>
      <c r="L51" s="69">
        <v>1.06</v>
      </c>
      <c r="M51" s="69">
        <v>1.012</v>
      </c>
      <c r="N51" s="69">
        <v>1.024</v>
      </c>
      <c r="O51" s="69">
        <v>20</v>
      </c>
      <c r="P51" s="69">
        <v>40</v>
      </c>
      <c r="Q51" s="69">
        <f>(G51+H51)/2</f>
        <v>35</v>
      </c>
      <c r="R51" s="72">
        <f t="shared" si="5"/>
        <v>5.0000000000000001E-4</v>
      </c>
      <c r="S51" s="69">
        <f>(K51+L51)/2</f>
        <v>1.052</v>
      </c>
      <c r="T51" s="69">
        <f>(M51+N51)/2</f>
        <v>1.018</v>
      </c>
      <c r="U51" s="69">
        <f>(O51+P51)/2</f>
        <v>30</v>
      </c>
      <c r="V51" s="69">
        <f>ROUND((U51/(S51*1000-1000)),2)</f>
        <v>0.57999999999999996</v>
      </c>
      <c r="W51" s="69">
        <f t="shared" si="6"/>
        <v>0.91</v>
      </c>
      <c r="X51" s="69">
        <f t="shared" si="7"/>
        <v>0.33</v>
      </c>
      <c r="AC51">
        <f t="shared" si="3"/>
        <v>4.0000000000000002E-4</v>
      </c>
      <c r="AD51">
        <f t="shared" si="4"/>
        <v>5.9999999999999995E-4</v>
      </c>
    </row>
    <row r="52" spans="1:30" x14ac:dyDescent="0.25">
      <c r="A52" s="69" t="s">
        <v>306</v>
      </c>
      <c r="B52" s="69" t="s">
        <v>305</v>
      </c>
      <c r="D52">
        <v>1</v>
      </c>
      <c r="G52" s="69">
        <v>22</v>
      </c>
      <c r="H52" s="69">
        <v>40</v>
      </c>
      <c r="I52" s="70">
        <v>4.2000000000000003E-2</v>
      </c>
      <c r="J52" s="70">
        <v>5.9000000000000004E-2</v>
      </c>
      <c r="K52" s="69">
        <v>1.0449999999999999</v>
      </c>
      <c r="L52" s="69">
        <v>1.0649999999999999</v>
      </c>
      <c r="M52" s="69">
        <v>1.01</v>
      </c>
      <c r="N52" s="69">
        <v>1.018</v>
      </c>
      <c r="O52" s="69">
        <v>25</v>
      </c>
      <c r="P52" s="69">
        <v>40</v>
      </c>
      <c r="Q52" s="69">
        <f>(G52+H52)/2</f>
        <v>31</v>
      </c>
      <c r="R52" s="72">
        <f t="shared" si="5"/>
        <v>5.0500000000000002E-4</v>
      </c>
      <c r="S52" s="69">
        <f>(K52+L52)/2</f>
        <v>1.0549999999999999</v>
      </c>
      <c r="T52" s="69">
        <f>(M52+N52)/2</f>
        <v>1.014</v>
      </c>
      <c r="U52" s="69">
        <f>(O52+P52)/2</f>
        <v>32.5</v>
      </c>
      <c r="V52" s="69">
        <f>ROUND((U52/(S52*1000-1000)),2)</f>
        <v>0.59</v>
      </c>
      <c r="W52" s="69">
        <f t="shared" si="6"/>
        <v>0.89</v>
      </c>
      <c r="X52" s="69">
        <f t="shared" si="7"/>
        <v>0.38</v>
      </c>
      <c r="AC52">
        <f t="shared" si="3"/>
        <v>4.2000000000000002E-4</v>
      </c>
      <c r="AD52">
        <f t="shared" si="4"/>
        <v>5.9000000000000003E-4</v>
      </c>
    </row>
    <row r="53" spans="1:30" x14ac:dyDescent="0.25">
      <c r="A53" s="69" t="s">
        <v>307</v>
      </c>
      <c r="B53" s="69" t="s">
        <v>305</v>
      </c>
      <c r="D53">
        <v>1</v>
      </c>
      <c r="G53" s="69">
        <v>30</v>
      </c>
      <c r="H53" s="69">
        <v>40</v>
      </c>
      <c r="I53" s="70">
        <v>5.5E-2</v>
      </c>
      <c r="J53" s="70">
        <v>0.08</v>
      </c>
      <c r="K53" s="69">
        <v>1.056</v>
      </c>
      <c r="L53" s="69">
        <v>1.075</v>
      </c>
      <c r="M53" s="69">
        <v>1.01</v>
      </c>
      <c r="N53" s="69">
        <v>1.018</v>
      </c>
      <c r="O53" s="69">
        <v>30</v>
      </c>
      <c r="P53" s="69">
        <v>50</v>
      </c>
      <c r="Q53" s="69">
        <f>(G53+H53)/2</f>
        <v>35</v>
      </c>
      <c r="R53" s="72">
        <f t="shared" si="5"/>
        <v>6.7500000000000004E-4</v>
      </c>
      <c r="S53" s="69">
        <f>(K53+L53)/2</f>
        <v>1.0655000000000001</v>
      </c>
      <c r="T53" s="69">
        <f>(M53+N53)/2</f>
        <v>1.014</v>
      </c>
      <c r="U53" s="69">
        <f>(O53+P53)/2</f>
        <v>40</v>
      </c>
      <c r="V53" s="69">
        <f>ROUND((U53/(S53*1000-1000)),2)</f>
        <v>0.61</v>
      </c>
      <c r="W53" s="69">
        <f t="shared" si="6"/>
        <v>0.89</v>
      </c>
      <c r="X53" s="69">
        <f t="shared" si="7"/>
        <v>0.4</v>
      </c>
      <c r="AC53">
        <f t="shared" si="3"/>
        <v>5.5000000000000003E-4</v>
      </c>
      <c r="AD53">
        <f t="shared" si="4"/>
        <v>8.0000000000000004E-4</v>
      </c>
    </row>
    <row r="54" spans="1:30" x14ac:dyDescent="0.25">
      <c r="A54" s="69" t="s">
        <v>308</v>
      </c>
      <c r="B54" s="69" t="s">
        <v>305</v>
      </c>
      <c r="D54">
        <v>1</v>
      </c>
      <c r="G54" s="69">
        <v>30</v>
      </c>
      <c r="H54" s="69">
        <v>40</v>
      </c>
      <c r="I54" s="70">
        <v>6.3E-2</v>
      </c>
      <c r="J54" s="70">
        <v>0.08</v>
      </c>
      <c r="K54" s="69">
        <v>1.056</v>
      </c>
      <c r="L54" s="69">
        <v>1.075</v>
      </c>
      <c r="M54" s="69">
        <v>1.01</v>
      </c>
      <c r="N54" s="69">
        <v>1.018</v>
      </c>
      <c r="O54" s="69">
        <v>50</v>
      </c>
      <c r="P54" s="69">
        <v>70</v>
      </c>
      <c r="Q54" s="69">
        <f>(G54+H54)/2</f>
        <v>35</v>
      </c>
      <c r="R54" s="72">
        <f t="shared" si="5"/>
        <v>7.1500000000000003E-4</v>
      </c>
      <c r="S54" s="69">
        <f>(K54+L54)/2</f>
        <v>1.0655000000000001</v>
      </c>
      <c r="T54" s="69">
        <f>(M54+N54)/2</f>
        <v>1.014</v>
      </c>
      <c r="U54" s="69">
        <f>(O54+P54)/2</f>
        <v>60</v>
      </c>
      <c r="V54" s="69">
        <f>ROUND((U54/(S54*1000-1000)),2)</f>
        <v>0.92</v>
      </c>
      <c r="W54" s="69">
        <f t="shared" si="6"/>
        <v>1.25</v>
      </c>
      <c r="X54" s="69">
        <f t="shared" si="7"/>
        <v>0.67</v>
      </c>
      <c r="AC54">
        <f t="shared" si="3"/>
        <v>6.3000000000000003E-4</v>
      </c>
      <c r="AD54">
        <f t="shared" si="4"/>
        <v>8.0000000000000004E-4</v>
      </c>
    </row>
    <row r="55" spans="1:30" x14ac:dyDescent="0.25">
      <c r="A55" s="69" t="s">
        <v>309</v>
      </c>
      <c r="B55" s="69" t="s">
        <v>310</v>
      </c>
      <c r="D55">
        <v>1</v>
      </c>
      <c r="G55" s="69">
        <v>8</v>
      </c>
      <c r="H55" s="69">
        <v>22</v>
      </c>
      <c r="I55" s="70">
        <v>5.5E-2</v>
      </c>
      <c r="J55" s="70">
        <v>0.08</v>
      </c>
      <c r="K55" s="69">
        <v>1.0549999999999999</v>
      </c>
      <c r="L55" s="69">
        <v>1.08</v>
      </c>
      <c r="M55" s="69">
        <v>1.0149999999999999</v>
      </c>
      <c r="N55" s="69">
        <v>1.022</v>
      </c>
      <c r="O55" s="69">
        <v>30</v>
      </c>
      <c r="P55" s="69">
        <v>60</v>
      </c>
      <c r="Q55" s="69">
        <f>(G55+H55)/2</f>
        <v>15</v>
      </c>
      <c r="R55" s="72">
        <f t="shared" si="5"/>
        <v>6.7500000000000004E-4</v>
      </c>
      <c r="S55" s="69">
        <f>(K55+L55)/2</f>
        <v>1.0674999999999999</v>
      </c>
      <c r="T55" s="69">
        <f>(M55+N55)/2</f>
        <v>1.0185</v>
      </c>
      <c r="U55" s="69">
        <f>(O55+P55)/2</f>
        <v>45</v>
      </c>
      <c r="V55" s="69">
        <f>ROUND((U55/(S55*1000-1000)),2)</f>
        <v>0.67</v>
      </c>
      <c r="W55" s="69">
        <f t="shared" si="6"/>
        <v>1.0900000000000001</v>
      </c>
      <c r="X55" s="69">
        <f t="shared" si="7"/>
        <v>0.38</v>
      </c>
      <c r="AC55">
        <f t="shared" si="3"/>
        <v>5.5000000000000003E-4</v>
      </c>
      <c r="AD55">
        <f t="shared" si="4"/>
        <v>8.0000000000000004E-4</v>
      </c>
    </row>
    <row r="56" spans="1:30" x14ac:dyDescent="0.25">
      <c r="A56" s="69" t="s">
        <v>311</v>
      </c>
      <c r="B56" s="69" t="s">
        <v>310</v>
      </c>
      <c r="D56">
        <v>1</v>
      </c>
      <c r="G56" s="69">
        <v>10</v>
      </c>
      <c r="H56" s="69">
        <v>22</v>
      </c>
      <c r="I56" s="70">
        <v>5.5E-2</v>
      </c>
      <c r="J56" s="70">
        <v>0.09</v>
      </c>
      <c r="K56" s="69">
        <v>1.0549999999999999</v>
      </c>
      <c r="L56" s="69">
        <v>1.0880000000000001</v>
      </c>
      <c r="M56" s="69">
        <v>1.0149999999999999</v>
      </c>
      <c r="N56" s="69">
        <v>1.022</v>
      </c>
      <c r="O56" s="69">
        <v>30</v>
      </c>
      <c r="P56" s="69">
        <v>60</v>
      </c>
      <c r="Q56" s="69">
        <f>(G56+H56)/2</f>
        <v>16</v>
      </c>
      <c r="R56" s="72">
        <f t="shared" si="5"/>
        <v>7.2499999999999995E-4</v>
      </c>
      <c r="S56" s="69">
        <f>(K56+L56)/2</f>
        <v>1.0714999999999999</v>
      </c>
      <c r="T56" s="69">
        <f>(M56+N56)/2</f>
        <v>1.0185</v>
      </c>
      <c r="U56" s="69">
        <f>(O56+P56)/2</f>
        <v>45</v>
      </c>
      <c r="V56" s="69">
        <f>ROUND((U56/(S56*1000-1000)),2)</f>
        <v>0.63</v>
      </c>
      <c r="W56" s="69">
        <f t="shared" si="6"/>
        <v>1.0900000000000001</v>
      </c>
      <c r="X56" s="69">
        <f t="shared" si="7"/>
        <v>0.34</v>
      </c>
      <c r="AC56">
        <f t="shared" si="3"/>
        <v>5.5000000000000003E-4</v>
      </c>
      <c r="AD56">
        <f t="shared" si="4"/>
        <v>8.9999999999999998E-4</v>
      </c>
    </row>
    <row r="57" spans="1:30" x14ac:dyDescent="0.25">
      <c r="A57" s="69" t="s">
        <v>312</v>
      </c>
      <c r="B57" s="69" t="s">
        <v>310</v>
      </c>
      <c r="D57">
        <v>1</v>
      </c>
      <c r="G57" s="69">
        <v>14</v>
      </c>
      <c r="H57" s="69">
        <v>25</v>
      </c>
      <c r="I57" s="70">
        <v>6.5000000000000002E-2</v>
      </c>
      <c r="J57" s="70">
        <v>0.1</v>
      </c>
      <c r="K57" s="69">
        <v>1.07</v>
      </c>
      <c r="L57" s="69">
        <v>1.1299999999999999</v>
      </c>
      <c r="M57" s="69">
        <v>1.018</v>
      </c>
      <c r="N57" s="69">
        <v>1.04</v>
      </c>
      <c r="O57" s="69">
        <v>17</v>
      </c>
      <c r="P57" s="69">
        <v>35</v>
      </c>
      <c r="Q57" s="69">
        <f>(G57+H57)/2</f>
        <v>19.5</v>
      </c>
      <c r="R57" s="72">
        <f t="shared" si="5"/>
        <v>8.25E-4</v>
      </c>
      <c r="S57" s="69">
        <f>(K57+L57)/2</f>
        <v>1.1000000000000001</v>
      </c>
      <c r="T57" s="69">
        <f>(M57+N57)/2</f>
        <v>1.0289999999999999</v>
      </c>
      <c r="U57" s="69">
        <f>(O57+P57)/2</f>
        <v>26</v>
      </c>
      <c r="V57" s="69">
        <f>ROUND((U57/(S57*1000-1000)),2)</f>
        <v>0.26</v>
      </c>
      <c r="W57" s="69">
        <f t="shared" si="6"/>
        <v>0.5</v>
      </c>
      <c r="X57" s="69">
        <f t="shared" si="7"/>
        <v>0.13</v>
      </c>
      <c r="AC57">
        <f t="shared" si="3"/>
        <v>6.4999999999999997E-4</v>
      </c>
      <c r="AD57">
        <f t="shared" si="4"/>
        <v>1E-3</v>
      </c>
    </row>
    <row r="58" spans="1:30" x14ac:dyDescent="0.25">
      <c r="A58" s="69" t="s">
        <v>313</v>
      </c>
      <c r="B58" s="69" t="s">
        <v>310</v>
      </c>
      <c r="D58">
        <v>1</v>
      </c>
      <c r="G58" s="69">
        <v>8</v>
      </c>
      <c r="H58" s="69">
        <v>22</v>
      </c>
      <c r="I58" s="70">
        <v>0.08</v>
      </c>
      <c r="J58" s="70">
        <v>0.12</v>
      </c>
      <c r="K58" s="69">
        <v>1.08</v>
      </c>
      <c r="L58" s="69">
        <v>1.1200000000000001</v>
      </c>
      <c r="M58" s="69">
        <v>1.018</v>
      </c>
      <c r="N58" s="69">
        <v>1.03</v>
      </c>
      <c r="O58" s="69">
        <v>35</v>
      </c>
      <c r="P58" s="69">
        <v>70</v>
      </c>
      <c r="Q58" s="69">
        <f>(G58+H58)/2</f>
        <v>15</v>
      </c>
      <c r="R58" s="72">
        <f t="shared" si="5"/>
        <v>1E-3</v>
      </c>
      <c r="S58" s="69">
        <f>(K58+L58)/2</f>
        <v>1.1000000000000001</v>
      </c>
      <c r="T58" s="69">
        <f>(M58+N58)/2</f>
        <v>1.024</v>
      </c>
      <c r="U58" s="69">
        <f>(O58+P58)/2</f>
        <v>52.5</v>
      </c>
      <c r="V58" s="69">
        <f>ROUND((U58/(S58*1000-1000)),2)</f>
        <v>0.53</v>
      </c>
      <c r="W58" s="69">
        <f t="shared" si="6"/>
        <v>0.88</v>
      </c>
      <c r="X58" s="69">
        <f t="shared" si="7"/>
        <v>0.28999999999999998</v>
      </c>
      <c r="AC58">
        <f t="shared" si="3"/>
        <v>8.0000000000000004E-4</v>
      </c>
      <c r="AD58">
        <f t="shared" si="4"/>
        <v>1.1999999999999999E-3</v>
      </c>
    </row>
    <row r="59" spans="1:30" x14ac:dyDescent="0.25">
      <c r="A59" s="69" t="s">
        <v>314</v>
      </c>
      <c r="B59" s="69" t="s">
        <v>315</v>
      </c>
      <c r="C59">
        <v>1</v>
      </c>
      <c r="G59" s="69">
        <v>3</v>
      </c>
      <c r="H59" s="69">
        <v>6</v>
      </c>
      <c r="I59" s="70">
        <v>3.7999999999999999E-2</v>
      </c>
      <c r="J59" s="70">
        <v>5.5E-2</v>
      </c>
      <c r="K59" s="69">
        <v>1.038</v>
      </c>
      <c r="L59" s="69">
        <v>1.054</v>
      </c>
      <c r="M59" s="69">
        <v>1.008</v>
      </c>
      <c r="N59" s="69">
        <v>1.0129999999999999</v>
      </c>
      <c r="O59" s="69">
        <v>15</v>
      </c>
      <c r="P59" s="69">
        <v>28</v>
      </c>
      <c r="Q59" s="69">
        <f>(G59+H59)/2</f>
        <v>4.5</v>
      </c>
      <c r="R59" s="72">
        <f t="shared" si="5"/>
        <v>4.6499999999999997E-4</v>
      </c>
      <c r="S59" s="69">
        <f>(K59+L59)/2</f>
        <v>1.046</v>
      </c>
      <c r="T59" s="69">
        <f>(M59+N59)/2</f>
        <v>1.0105</v>
      </c>
      <c r="U59" s="69">
        <f>(O59+P59)/2</f>
        <v>21.5</v>
      </c>
      <c r="V59" s="69">
        <f>ROUND((U59/(S59*1000-1000)),2)</f>
        <v>0.47</v>
      </c>
      <c r="W59" s="69">
        <f t="shared" si="6"/>
        <v>0.74</v>
      </c>
      <c r="X59" s="69">
        <f t="shared" si="7"/>
        <v>0.28000000000000003</v>
      </c>
      <c r="AC59">
        <f t="shared" si="3"/>
        <v>3.7999999999999997E-4</v>
      </c>
      <c r="AD59">
        <f t="shared" si="4"/>
        <v>5.5000000000000003E-4</v>
      </c>
    </row>
    <row r="60" spans="1:30" x14ac:dyDescent="0.25">
      <c r="A60" s="69" t="s">
        <v>316</v>
      </c>
      <c r="B60" s="69" t="s">
        <v>315</v>
      </c>
      <c r="F60">
        <v>1</v>
      </c>
      <c r="G60" s="69">
        <v>5</v>
      </c>
      <c r="H60" s="69">
        <v>10</v>
      </c>
      <c r="I60" s="70">
        <v>4.4999999999999998E-2</v>
      </c>
      <c r="J60" s="70">
        <v>6.2E-2</v>
      </c>
      <c r="K60" s="69">
        <v>1.0449999999999999</v>
      </c>
      <c r="L60" s="69">
        <v>1.06</v>
      </c>
      <c r="M60" s="69">
        <v>1.01</v>
      </c>
      <c r="N60" s="69">
        <v>1.0149999999999999</v>
      </c>
      <c r="O60" s="69">
        <v>30</v>
      </c>
      <c r="P60" s="69">
        <v>50</v>
      </c>
      <c r="Q60" s="69">
        <f>(G60+H60)/2</f>
        <v>7.5</v>
      </c>
      <c r="R60" s="72">
        <f t="shared" si="5"/>
        <v>5.3499999999999999E-4</v>
      </c>
      <c r="S60" s="69">
        <f>(K60+L60)/2</f>
        <v>1.0525</v>
      </c>
      <c r="T60" s="69">
        <f>(M60+N60)/2</f>
        <v>1.0125</v>
      </c>
      <c r="U60" s="69">
        <f>(O60+P60)/2</f>
        <v>40</v>
      </c>
      <c r="V60" s="69">
        <f>ROUND((U60/(S60*1000-1000)),2)</f>
        <v>0.76</v>
      </c>
      <c r="W60" s="69">
        <f t="shared" si="6"/>
        <v>1.1100000000000001</v>
      </c>
      <c r="X60" s="69">
        <f t="shared" si="7"/>
        <v>0.5</v>
      </c>
      <c r="AC60">
        <f t="shared" si="3"/>
        <v>4.4999999999999999E-4</v>
      </c>
      <c r="AD60">
        <f t="shared" si="4"/>
        <v>6.2E-4</v>
      </c>
    </row>
    <row r="61" spans="1:30" x14ac:dyDescent="0.25">
      <c r="A61" s="69" t="s">
        <v>317</v>
      </c>
      <c r="B61" s="69" t="s">
        <v>318</v>
      </c>
      <c r="C61">
        <v>1</v>
      </c>
      <c r="G61" s="69">
        <v>10</v>
      </c>
      <c r="H61" s="69">
        <v>17</v>
      </c>
      <c r="I61" s="70">
        <v>4.4999999999999998E-2</v>
      </c>
      <c r="J61" s="70">
        <v>6.2E-2</v>
      </c>
      <c r="K61" s="69">
        <v>1.0449999999999999</v>
      </c>
      <c r="L61" s="69">
        <v>1.06</v>
      </c>
      <c r="M61" s="69">
        <v>1.01</v>
      </c>
      <c r="N61" s="69">
        <v>1.0149999999999999</v>
      </c>
      <c r="O61" s="69">
        <v>25</v>
      </c>
      <c r="P61" s="69">
        <v>40</v>
      </c>
      <c r="Q61" s="69">
        <f>(G61+H61)/2</f>
        <v>13.5</v>
      </c>
      <c r="R61" s="72">
        <f t="shared" si="5"/>
        <v>5.3499999999999999E-4</v>
      </c>
      <c r="S61" s="69">
        <f>(K61+L61)/2</f>
        <v>1.0525</v>
      </c>
      <c r="T61" s="69">
        <f>(M61+N61)/2</f>
        <v>1.0125</v>
      </c>
      <c r="U61" s="69">
        <f>(O61+P61)/2</f>
        <v>32.5</v>
      </c>
      <c r="V61" s="69">
        <f>ROUND((U61/(S61*1000-1000)),2)</f>
        <v>0.62</v>
      </c>
      <c r="W61" s="69">
        <f t="shared" si="6"/>
        <v>0.89</v>
      </c>
      <c r="X61" s="69">
        <f t="shared" si="7"/>
        <v>0.42</v>
      </c>
      <c r="AC61">
        <f t="shared" si="3"/>
        <v>4.4999999999999999E-4</v>
      </c>
      <c r="AD61">
        <f t="shared" si="4"/>
        <v>6.2E-4</v>
      </c>
    </row>
    <row r="62" spans="1:30" x14ac:dyDescent="0.25">
      <c r="A62" s="69" t="s">
        <v>319</v>
      </c>
      <c r="B62" s="69" t="s">
        <v>318</v>
      </c>
      <c r="F62">
        <v>1</v>
      </c>
      <c r="G62" s="69">
        <v>10</v>
      </c>
      <c r="H62" s="69">
        <v>14</v>
      </c>
      <c r="I62" s="70">
        <v>4.4999999999999998E-2</v>
      </c>
      <c r="J62" s="70">
        <v>5.5E-2</v>
      </c>
      <c r="K62" s="69">
        <v>1.048</v>
      </c>
      <c r="L62" s="69">
        <v>1.054</v>
      </c>
      <c r="M62" s="69">
        <v>1.0109999999999999</v>
      </c>
      <c r="N62" s="69">
        <v>1.014</v>
      </c>
      <c r="O62" s="69">
        <v>30</v>
      </c>
      <c r="P62" s="69">
        <v>45</v>
      </c>
      <c r="Q62" s="69">
        <f>(G62+H62)/2</f>
        <v>12</v>
      </c>
      <c r="R62" s="72">
        <f t="shared" si="5"/>
        <v>5.0000000000000001E-4</v>
      </c>
      <c r="S62" s="69">
        <f>(K62+L62)/2</f>
        <v>1.0510000000000002</v>
      </c>
      <c r="T62" s="69">
        <f>(M62+N62)/2</f>
        <v>1.0125</v>
      </c>
      <c r="U62" s="69">
        <f>(O62+P62)/2</f>
        <v>37.5</v>
      </c>
      <c r="V62" s="69">
        <f>ROUND((U62/(S62*1000-1000)),2)</f>
        <v>0.74</v>
      </c>
      <c r="W62" s="69">
        <f t="shared" si="6"/>
        <v>0.94</v>
      </c>
      <c r="X62" s="69">
        <f t="shared" si="7"/>
        <v>0.56000000000000005</v>
      </c>
      <c r="AC62">
        <f t="shared" si="3"/>
        <v>4.4999999999999999E-4</v>
      </c>
      <c r="AD62">
        <f t="shared" si="4"/>
        <v>5.5000000000000003E-4</v>
      </c>
    </row>
    <row r="63" spans="1:30" x14ac:dyDescent="0.25">
      <c r="A63" s="69" t="s">
        <v>320</v>
      </c>
      <c r="B63" s="69" t="s">
        <v>318</v>
      </c>
      <c r="C63">
        <v>1</v>
      </c>
      <c r="G63" s="69">
        <v>18</v>
      </c>
      <c r="H63" s="69">
        <v>35</v>
      </c>
      <c r="I63" s="70">
        <v>4.2999999999999997E-2</v>
      </c>
      <c r="J63" s="70">
        <v>6.2E-2</v>
      </c>
      <c r="K63" s="69">
        <v>1.0449999999999999</v>
      </c>
      <c r="L63" s="69">
        <v>1.06</v>
      </c>
      <c r="M63" s="69">
        <v>1.01</v>
      </c>
      <c r="N63" s="69">
        <v>1.016</v>
      </c>
      <c r="O63" s="69">
        <v>20</v>
      </c>
      <c r="P63" s="69">
        <v>30</v>
      </c>
      <c r="Q63" s="69">
        <f>(G63+H63)/2</f>
        <v>26.5</v>
      </c>
      <c r="R63" s="72">
        <f t="shared" si="5"/>
        <v>5.2499999999999997E-4</v>
      </c>
      <c r="S63" s="69">
        <f>(K63+L63)/2</f>
        <v>1.0525</v>
      </c>
      <c r="T63" s="69">
        <f>(M63+N63)/2</f>
        <v>1.0129999999999999</v>
      </c>
      <c r="U63" s="69">
        <f>(O63+P63)/2</f>
        <v>25</v>
      </c>
      <c r="V63" s="69">
        <f>ROUND((U63/(S63*1000-1000)),2)</f>
        <v>0.48</v>
      </c>
      <c r="W63" s="69">
        <f t="shared" si="6"/>
        <v>0.67</v>
      </c>
      <c r="X63" s="69">
        <f t="shared" si="7"/>
        <v>0.33</v>
      </c>
      <c r="AC63">
        <f t="shared" si="3"/>
        <v>4.2999999999999999E-4</v>
      </c>
      <c r="AD63">
        <f t="shared" si="4"/>
        <v>6.2E-4</v>
      </c>
    </row>
    <row r="64" spans="1:30" x14ac:dyDescent="0.25">
      <c r="A64" s="69" t="s">
        <v>321</v>
      </c>
      <c r="B64" s="69" t="s">
        <v>322</v>
      </c>
      <c r="F64">
        <v>1</v>
      </c>
      <c r="G64" s="69">
        <v>22</v>
      </c>
      <c r="H64" s="69">
        <v>40</v>
      </c>
      <c r="I64" s="70">
        <v>4.8000000000000001E-2</v>
      </c>
      <c r="J64" s="70">
        <v>6.5000000000000002E-2</v>
      </c>
      <c r="K64" s="69">
        <v>1.05</v>
      </c>
      <c r="L64" s="69">
        <v>1.07</v>
      </c>
      <c r="M64" s="69">
        <v>1.012</v>
      </c>
      <c r="N64" s="69">
        <v>1.018</v>
      </c>
      <c r="O64" s="69">
        <v>25</v>
      </c>
      <c r="P64" s="69">
        <v>50</v>
      </c>
      <c r="Q64" s="69">
        <f>(G64+H64)/2</f>
        <v>31</v>
      </c>
      <c r="R64" s="72">
        <f t="shared" si="5"/>
        <v>5.6499999999999996E-4</v>
      </c>
      <c r="S64" s="69">
        <f>(K64+L64)/2</f>
        <v>1.06</v>
      </c>
      <c r="T64" s="69">
        <f>(M64+N64)/2</f>
        <v>1.0150000000000001</v>
      </c>
      <c r="U64" s="69">
        <f>(O64+P64)/2</f>
        <v>37.5</v>
      </c>
      <c r="V64" s="69">
        <f>ROUND((U64/(S64*1000-1000)),2)</f>
        <v>0.63</v>
      </c>
      <c r="W64" s="69">
        <f t="shared" si="6"/>
        <v>1</v>
      </c>
      <c r="X64" s="69">
        <f t="shared" si="7"/>
        <v>0.36</v>
      </c>
      <c r="AC64">
        <f t="shared" si="3"/>
        <v>4.8000000000000001E-4</v>
      </c>
      <c r="AD64">
        <f t="shared" si="4"/>
        <v>6.4999999999999997E-4</v>
      </c>
    </row>
    <row r="65" spans="1:30" x14ac:dyDescent="0.25">
      <c r="A65" s="69" t="s">
        <v>323</v>
      </c>
      <c r="B65" s="69" t="s">
        <v>322</v>
      </c>
      <c r="F65">
        <v>1</v>
      </c>
      <c r="G65" s="69">
        <v>30</v>
      </c>
      <c r="H65" s="69">
        <v>40</v>
      </c>
      <c r="I65" s="70">
        <v>0.05</v>
      </c>
      <c r="J65" s="70">
        <v>7.0000000000000007E-2</v>
      </c>
      <c r="K65" s="69">
        <v>1.05</v>
      </c>
      <c r="L65" s="69">
        <v>1.075</v>
      </c>
      <c r="M65" s="69">
        <v>1.01</v>
      </c>
      <c r="N65" s="69">
        <v>1.022</v>
      </c>
      <c r="O65" s="69">
        <v>35</v>
      </c>
      <c r="P65" s="69">
        <v>75</v>
      </c>
      <c r="Q65" s="69">
        <f>(G65+H65)/2</f>
        <v>35</v>
      </c>
      <c r="R65" s="72">
        <f t="shared" si="5"/>
        <v>6.0000000000000006E-4</v>
      </c>
      <c r="S65" s="69">
        <f>(K65+L65)/2</f>
        <v>1.0625</v>
      </c>
      <c r="T65" s="69">
        <f>(M65+N65)/2</f>
        <v>1.016</v>
      </c>
      <c r="U65" s="69">
        <f>(O65+P65)/2</f>
        <v>55</v>
      </c>
      <c r="V65" s="69">
        <f>ROUND((U65/(S65*1000-1000)),2)</f>
        <v>0.88</v>
      </c>
      <c r="W65" s="69">
        <f t="shared" si="6"/>
        <v>1.5</v>
      </c>
      <c r="X65" s="69">
        <f t="shared" si="7"/>
        <v>0.47</v>
      </c>
      <c r="AC65">
        <f t="shared" si="3"/>
        <v>5.0000000000000001E-4</v>
      </c>
      <c r="AD65">
        <f t="shared" si="4"/>
        <v>7.000000000000001E-4</v>
      </c>
    </row>
    <row r="66" spans="1:30" x14ac:dyDescent="0.25">
      <c r="A66" s="69" t="s">
        <v>324</v>
      </c>
      <c r="B66" s="69" t="s">
        <v>322</v>
      </c>
      <c r="D66">
        <v>1</v>
      </c>
      <c r="G66" s="69">
        <v>30</v>
      </c>
      <c r="H66" s="69">
        <v>40</v>
      </c>
      <c r="I66" s="70">
        <v>0.08</v>
      </c>
      <c r="J66" s="70">
        <v>0.12</v>
      </c>
      <c r="K66" s="69">
        <v>1.075</v>
      </c>
      <c r="L66" s="69">
        <v>1.115</v>
      </c>
      <c r="M66" s="69">
        <v>1.018</v>
      </c>
      <c r="N66" s="69">
        <v>1.03</v>
      </c>
      <c r="O66" s="69">
        <v>50</v>
      </c>
      <c r="P66" s="69">
        <v>90</v>
      </c>
      <c r="Q66" s="69">
        <f>(G66+H66)/2</f>
        <v>35</v>
      </c>
      <c r="R66" s="72">
        <f t="shared" ref="R66:R102" si="8">(I66+J66)/200</f>
        <v>1E-3</v>
      </c>
      <c r="S66" s="69">
        <f>(K66+L66)/2</f>
        <v>1.095</v>
      </c>
      <c r="T66" s="69">
        <f>(M66+N66)/2</f>
        <v>1.024</v>
      </c>
      <c r="U66" s="69">
        <f>(O66+P66)/2</f>
        <v>70</v>
      </c>
      <c r="V66" s="69">
        <f>ROUND((U66/(S66*1000-1000)),2)</f>
        <v>0.74</v>
      </c>
      <c r="W66" s="69">
        <f t="shared" ref="W66:W102" si="9">ROUND((P66/(K66*1000-1000)),2)</f>
        <v>1.2</v>
      </c>
      <c r="X66" s="69">
        <f t="shared" ref="X66:X102" si="10">ROUND((O66/(L66*1000-1000)),2)</f>
        <v>0.43</v>
      </c>
      <c r="AC66">
        <f t="shared" si="3"/>
        <v>8.0000000000000004E-4</v>
      </c>
      <c r="AD66">
        <f t="shared" si="4"/>
        <v>1.1999999999999999E-3</v>
      </c>
    </row>
    <row r="67" spans="1:30" x14ac:dyDescent="0.25">
      <c r="A67" s="69" t="s">
        <v>325</v>
      </c>
      <c r="B67" s="69" t="s">
        <v>326</v>
      </c>
      <c r="F67">
        <v>1</v>
      </c>
      <c r="G67" s="69">
        <v>6</v>
      </c>
      <c r="H67" s="69">
        <v>14</v>
      </c>
      <c r="I67" s="70">
        <v>5.5E-2</v>
      </c>
      <c r="J67" s="70">
        <v>7.4999999999999997E-2</v>
      </c>
      <c r="K67" s="69">
        <v>1.056</v>
      </c>
      <c r="L67" s="69">
        <v>1.07</v>
      </c>
      <c r="M67" s="69">
        <v>1.008</v>
      </c>
      <c r="N67" s="69">
        <v>1.014</v>
      </c>
      <c r="O67" s="69">
        <v>40</v>
      </c>
      <c r="P67" s="69">
        <v>70</v>
      </c>
      <c r="Q67" s="69">
        <f>(G67+H67)/2</f>
        <v>10</v>
      </c>
      <c r="R67" s="72">
        <f t="shared" si="8"/>
        <v>6.4999999999999997E-4</v>
      </c>
      <c r="S67" s="69">
        <f>(K67+L67)/2</f>
        <v>1.0630000000000002</v>
      </c>
      <c r="T67" s="69">
        <f>(M67+N67)/2</f>
        <v>1.0110000000000001</v>
      </c>
      <c r="U67" s="69">
        <f>(O67+P67)/2</f>
        <v>55</v>
      </c>
      <c r="V67" s="69">
        <f>ROUND((U67/(S67*1000-1000)),2)</f>
        <v>0.87</v>
      </c>
      <c r="W67" s="69">
        <f t="shared" si="9"/>
        <v>1.25</v>
      </c>
      <c r="X67" s="69">
        <f t="shared" si="10"/>
        <v>0.56999999999999995</v>
      </c>
      <c r="AC67">
        <f t="shared" ref="AC67:AC102" si="11">I67/100</f>
        <v>5.5000000000000003E-4</v>
      </c>
      <c r="AD67">
        <f t="shared" ref="AD67:AD102" si="12">J67/100</f>
        <v>7.5000000000000002E-4</v>
      </c>
    </row>
    <row r="68" spans="1:30" x14ac:dyDescent="0.25">
      <c r="A68" s="69" t="s">
        <v>327</v>
      </c>
      <c r="B68" s="69" t="s">
        <v>326</v>
      </c>
      <c r="F68">
        <v>1</v>
      </c>
      <c r="G68" s="69">
        <v>5</v>
      </c>
      <c r="H68" s="69">
        <v>15</v>
      </c>
      <c r="I68" s="70">
        <v>6.2E-2</v>
      </c>
      <c r="J68" s="70">
        <v>9.5000000000000001E-2</v>
      </c>
      <c r="K68" s="69">
        <v>1.0580000000000001</v>
      </c>
      <c r="L68" s="69">
        <v>1.08</v>
      </c>
      <c r="M68" s="69">
        <v>1.008</v>
      </c>
      <c r="N68" s="69">
        <v>1.016</v>
      </c>
      <c r="O68" s="69">
        <v>50</v>
      </c>
      <c r="P68" s="69">
        <v>100</v>
      </c>
      <c r="Q68" s="69">
        <f>(G68+H68)/2</f>
        <v>10</v>
      </c>
      <c r="R68" s="72">
        <f t="shared" si="8"/>
        <v>7.85E-4</v>
      </c>
      <c r="S68" s="69">
        <f>(K68+L68)/2</f>
        <v>1.069</v>
      </c>
      <c r="T68" s="69">
        <f>(M68+N68)/2</f>
        <v>1.012</v>
      </c>
      <c r="U68" s="69">
        <f>(O68+P68)/2</f>
        <v>75</v>
      </c>
      <c r="V68" s="69">
        <f>ROUND((U68/(S68*1000-1000)),2)</f>
        <v>1.0900000000000001</v>
      </c>
      <c r="W68" s="69">
        <f t="shared" si="9"/>
        <v>1.72</v>
      </c>
      <c r="X68" s="69">
        <f t="shared" si="10"/>
        <v>0.63</v>
      </c>
      <c r="AC68">
        <f t="shared" si="11"/>
        <v>6.2E-4</v>
      </c>
      <c r="AD68">
        <f t="shared" si="12"/>
        <v>9.5E-4</v>
      </c>
    </row>
    <row r="69" spans="1:30" x14ac:dyDescent="0.25">
      <c r="A69" s="69" t="s">
        <v>328</v>
      </c>
      <c r="B69" s="69" t="s">
        <v>326</v>
      </c>
      <c r="F69">
        <v>1</v>
      </c>
      <c r="G69" s="69">
        <v>25</v>
      </c>
      <c r="H69" s="69">
        <v>40</v>
      </c>
      <c r="I69" s="70">
        <v>5.5E-2</v>
      </c>
      <c r="J69" s="70">
        <v>0.09</v>
      </c>
      <c r="K69" s="69">
        <v>1.05</v>
      </c>
      <c r="L69" s="69">
        <v>1.085</v>
      </c>
      <c r="M69" s="69">
        <v>1.01</v>
      </c>
      <c r="N69" s="69">
        <v>1.018</v>
      </c>
      <c r="O69" s="69">
        <v>50</v>
      </c>
      <c r="P69" s="69">
        <v>90</v>
      </c>
      <c r="Q69" s="69">
        <f>(G69+H69)/2</f>
        <v>32.5</v>
      </c>
      <c r="R69" s="72">
        <f t="shared" si="8"/>
        <v>7.2499999999999995E-4</v>
      </c>
      <c r="S69" s="69">
        <f>(K69+L69)/2</f>
        <v>1.0674999999999999</v>
      </c>
      <c r="T69" s="69">
        <f>(M69+N69)/2</f>
        <v>1.014</v>
      </c>
      <c r="U69" s="69">
        <f>(O69+P69)/2</f>
        <v>70</v>
      </c>
      <c r="V69" s="69">
        <f>ROUND((U69/(S69*1000-1000)),2)</f>
        <v>1.04</v>
      </c>
      <c r="W69" s="69">
        <f t="shared" si="9"/>
        <v>1.8</v>
      </c>
      <c r="X69" s="69">
        <f t="shared" si="10"/>
        <v>0.59</v>
      </c>
      <c r="AC69">
        <f t="shared" si="11"/>
        <v>5.5000000000000003E-4</v>
      </c>
      <c r="AD69">
        <f t="shared" si="12"/>
        <v>8.9999999999999998E-4</v>
      </c>
    </row>
    <row r="70" spans="1:30" x14ac:dyDescent="0.25">
      <c r="A70" s="69" t="s">
        <v>329</v>
      </c>
      <c r="B70" s="69" t="s">
        <v>326</v>
      </c>
      <c r="F70">
        <v>1</v>
      </c>
      <c r="G70" s="69">
        <v>11</v>
      </c>
      <c r="H70" s="69">
        <v>19</v>
      </c>
      <c r="I70" s="70">
        <v>5.5E-2</v>
      </c>
      <c r="J70" s="70">
        <v>7.0000000000000007E-2</v>
      </c>
      <c r="K70" s="69">
        <v>1.056</v>
      </c>
      <c r="L70" s="69">
        <v>1.07</v>
      </c>
      <c r="M70" s="69">
        <v>1.008</v>
      </c>
      <c r="N70" s="69">
        <v>1.016</v>
      </c>
      <c r="O70" s="69">
        <v>40</v>
      </c>
      <c r="P70" s="69">
        <v>70</v>
      </c>
      <c r="Q70" s="69">
        <f>(G70+H70)/2</f>
        <v>15</v>
      </c>
      <c r="R70" s="72">
        <f t="shared" si="8"/>
        <v>6.2500000000000001E-4</v>
      </c>
      <c r="S70" s="69">
        <f>(K70+L70)/2</f>
        <v>1.0630000000000002</v>
      </c>
      <c r="T70" s="69">
        <f>(M70+N70)/2</f>
        <v>1.012</v>
      </c>
      <c r="U70" s="69">
        <f>(O70+P70)/2</f>
        <v>55</v>
      </c>
      <c r="V70" s="69">
        <f>ROUND((U70/(S70*1000-1000)),2)</f>
        <v>0.87</v>
      </c>
      <c r="W70" s="69">
        <f t="shared" si="9"/>
        <v>1.25</v>
      </c>
      <c r="X70" s="69">
        <f t="shared" si="10"/>
        <v>0.56999999999999995</v>
      </c>
      <c r="AC70">
        <f t="shared" si="11"/>
        <v>5.5000000000000003E-4</v>
      </c>
      <c r="AD70">
        <f t="shared" si="12"/>
        <v>7.000000000000001E-4</v>
      </c>
    </row>
    <row r="71" spans="1:30" x14ac:dyDescent="0.25">
      <c r="A71" s="69" t="s">
        <v>330</v>
      </c>
      <c r="B71" s="69" t="s">
        <v>326</v>
      </c>
      <c r="F71">
        <v>1</v>
      </c>
      <c r="G71" s="69">
        <v>11</v>
      </c>
      <c r="H71" s="69">
        <v>19</v>
      </c>
      <c r="I71" s="70">
        <v>5.5E-2</v>
      </c>
      <c r="J71" s="70">
        <v>7.4999999999999997E-2</v>
      </c>
      <c r="K71" s="69">
        <v>1.056</v>
      </c>
      <c r="L71" s="69">
        <v>1.07</v>
      </c>
      <c r="M71" s="69">
        <v>1.008</v>
      </c>
      <c r="N71" s="69">
        <v>1.016</v>
      </c>
      <c r="O71" s="69">
        <v>40</v>
      </c>
      <c r="P71" s="69">
        <v>70</v>
      </c>
      <c r="Q71" s="69">
        <f>(G71+H71)/2</f>
        <v>15</v>
      </c>
      <c r="R71" s="72">
        <f t="shared" si="8"/>
        <v>6.4999999999999997E-4</v>
      </c>
      <c r="S71" s="69">
        <f>(K71+L71)/2</f>
        <v>1.0630000000000002</v>
      </c>
      <c r="T71" s="69">
        <f>(M71+N71)/2</f>
        <v>1.012</v>
      </c>
      <c r="U71" s="69">
        <f>(O71+P71)/2</f>
        <v>55</v>
      </c>
      <c r="V71" s="69">
        <f>ROUND((U71/(S71*1000-1000)),2)</f>
        <v>0.87</v>
      </c>
      <c r="W71" s="69">
        <f t="shared" si="9"/>
        <v>1.25</v>
      </c>
      <c r="X71" s="69">
        <f t="shared" si="10"/>
        <v>0.56999999999999995</v>
      </c>
      <c r="AC71">
        <f t="shared" si="11"/>
        <v>5.5000000000000003E-4</v>
      </c>
      <c r="AD71">
        <f t="shared" si="12"/>
        <v>7.5000000000000002E-4</v>
      </c>
    </row>
    <row r="72" spans="1:30" x14ac:dyDescent="0.25">
      <c r="A72" s="69" t="s">
        <v>331</v>
      </c>
      <c r="B72" s="69" t="s">
        <v>326</v>
      </c>
      <c r="F72">
        <v>1</v>
      </c>
      <c r="G72" s="69">
        <v>6</v>
      </c>
      <c r="H72" s="69">
        <v>14</v>
      </c>
      <c r="I72" s="70">
        <v>5.5E-2</v>
      </c>
      <c r="J72" s="70">
        <v>0.08</v>
      </c>
      <c r="K72" s="69">
        <v>1.056</v>
      </c>
      <c r="L72" s="69">
        <v>1.075</v>
      </c>
      <c r="M72" s="69">
        <v>1.008</v>
      </c>
      <c r="N72" s="69">
        <v>1.016</v>
      </c>
      <c r="O72" s="69">
        <v>50</v>
      </c>
      <c r="P72" s="69">
        <v>75</v>
      </c>
      <c r="Q72" s="69">
        <f>(G72+H72)/2</f>
        <v>10</v>
      </c>
      <c r="R72" s="72">
        <f t="shared" si="8"/>
        <v>6.7500000000000004E-4</v>
      </c>
      <c r="S72" s="69">
        <f>(K72+L72)/2</f>
        <v>1.0655000000000001</v>
      </c>
      <c r="T72" s="69">
        <f>(M72+N72)/2</f>
        <v>1.012</v>
      </c>
      <c r="U72" s="69">
        <f>(O72+P72)/2</f>
        <v>62.5</v>
      </c>
      <c r="V72" s="69">
        <f>ROUND((U72/(S72*1000-1000)),2)</f>
        <v>0.95</v>
      </c>
      <c r="W72" s="69">
        <f t="shared" si="9"/>
        <v>1.34</v>
      </c>
      <c r="X72" s="69">
        <f t="shared" si="10"/>
        <v>0.67</v>
      </c>
      <c r="AC72">
        <f t="shared" si="11"/>
        <v>5.5000000000000003E-4</v>
      </c>
      <c r="AD72">
        <f t="shared" si="12"/>
        <v>8.0000000000000004E-4</v>
      </c>
    </row>
    <row r="73" spans="1:30" x14ac:dyDescent="0.25">
      <c r="A73" s="69" t="s">
        <v>332</v>
      </c>
      <c r="B73" s="69" t="s">
        <v>326</v>
      </c>
      <c r="F73">
        <v>1</v>
      </c>
      <c r="G73" s="69">
        <v>5</v>
      </c>
      <c r="H73" s="69">
        <v>8</v>
      </c>
      <c r="I73" s="70">
        <v>5.5E-2</v>
      </c>
      <c r="J73" s="70">
        <v>7.0000000000000007E-2</v>
      </c>
      <c r="K73" s="69">
        <v>1.056</v>
      </c>
      <c r="L73" s="69">
        <v>1.0649999999999999</v>
      </c>
      <c r="M73" s="69">
        <v>1.01</v>
      </c>
      <c r="N73" s="69">
        <v>1.016</v>
      </c>
      <c r="O73" s="69">
        <v>40</v>
      </c>
      <c r="P73" s="69">
        <v>70</v>
      </c>
      <c r="Q73" s="69">
        <f>(G73+H73)/2</f>
        <v>6.5</v>
      </c>
      <c r="R73" s="72">
        <f t="shared" si="8"/>
        <v>6.2500000000000001E-4</v>
      </c>
      <c r="S73" s="69">
        <f>(K73+L73)/2</f>
        <v>1.0605</v>
      </c>
      <c r="T73" s="69">
        <f>(M73+N73)/2</f>
        <v>1.0129999999999999</v>
      </c>
      <c r="U73" s="69">
        <f>(O73+P73)/2</f>
        <v>55</v>
      </c>
      <c r="V73" s="69">
        <f>ROUND((U73/(S73*1000-1000)),2)</f>
        <v>0.91</v>
      </c>
      <c r="W73" s="69">
        <f t="shared" si="9"/>
        <v>1.25</v>
      </c>
      <c r="X73" s="69">
        <f t="shared" si="10"/>
        <v>0.62</v>
      </c>
      <c r="AC73">
        <f t="shared" si="11"/>
        <v>5.5000000000000003E-4</v>
      </c>
      <c r="AD73">
        <f t="shared" si="12"/>
        <v>7.000000000000001E-4</v>
      </c>
    </row>
    <row r="74" spans="1:30" x14ac:dyDescent="0.25">
      <c r="A74" s="69" t="s">
        <v>333</v>
      </c>
      <c r="B74" s="69" t="s">
        <v>334</v>
      </c>
      <c r="F74">
        <v>1</v>
      </c>
      <c r="G74" s="69">
        <v>6</v>
      </c>
      <c r="H74" s="69">
        <v>14</v>
      </c>
      <c r="I74" s="70">
        <v>7.4999999999999997E-2</v>
      </c>
      <c r="J74" s="70">
        <v>0.1</v>
      </c>
      <c r="K74" s="69">
        <v>1.0649999999999999</v>
      </c>
      <c r="L74" s="69">
        <v>1.085</v>
      </c>
      <c r="M74" s="69">
        <v>1.008</v>
      </c>
      <c r="N74" s="69">
        <v>1.016</v>
      </c>
      <c r="O74" s="69">
        <v>60</v>
      </c>
      <c r="P74" s="69">
        <v>120</v>
      </c>
      <c r="Q74" s="69">
        <f>(G74+H74)/2</f>
        <v>10</v>
      </c>
      <c r="R74" s="72">
        <f t="shared" si="8"/>
        <v>8.7499999999999991E-4</v>
      </c>
      <c r="S74" s="69">
        <f>(K74+L74)/2</f>
        <v>1.075</v>
      </c>
      <c r="T74" s="69">
        <f>(M74+N74)/2</f>
        <v>1.012</v>
      </c>
      <c r="U74" s="69">
        <f>(O74+P74)/2</f>
        <v>90</v>
      </c>
      <c r="V74" s="69">
        <f>ROUND((U74/(S74*1000-1000)),2)</f>
        <v>1.2</v>
      </c>
      <c r="W74" s="69">
        <f t="shared" si="9"/>
        <v>1.85</v>
      </c>
      <c r="X74" s="69">
        <f t="shared" si="10"/>
        <v>0.71</v>
      </c>
      <c r="AC74">
        <f t="shared" si="11"/>
        <v>7.5000000000000002E-4</v>
      </c>
      <c r="AD74">
        <f t="shared" si="12"/>
        <v>1E-3</v>
      </c>
    </row>
    <row r="75" spans="1:30" x14ac:dyDescent="0.25">
      <c r="A75" s="69" t="s">
        <v>335</v>
      </c>
      <c r="B75" s="69" t="s">
        <v>334</v>
      </c>
      <c r="F75">
        <v>1</v>
      </c>
      <c r="G75" s="69">
        <v>7</v>
      </c>
      <c r="H75" s="69">
        <v>19</v>
      </c>
      <c r="I75" s="70">
        <v>6.3E-2</v>
      </c>
      <c r="J75" s="70">
        <v>0.1</v>
      </c>
      <c r="K75" s="69">
        <v>1.0620000000000001</v>
      </c>
      <c r="L75" s="69">
        <v>1.0900000000000001</v>
      </c>
      <c r="M75" s="69">
        <v>1.014</v>
      </c>
      <c r="N75" s="69">
        <v>1.016</v>
      </c>
      <c r="O75" s="69">
        <v>50</v>
      </c>
      <c r="P75" s="69">
        <v>100</v>
      </c>
      <c r="Q75" s="69">
        <f>(G75+H75)/2</f>
        <v>13</v>
      </c>
      <c r="R75" s="72">
        <f t="shared" si="8"/>
        <v>8.1500000000000008E-4</v>
      </c>
      <c r="S75" s="69">
        <f>(K75+L75)/2</f>
        <v>1.0760000000000001</v>
      </c>
      <c r="T75" s="69">
        <f>(M75+N75)/2</f>
        <v>1.0150000000000001</v>
      </c>
      <c r="U75" s="69">
        <f>(O75+P75)/2</f>
        <v>75</v>
      </c>
      <c r="V75" s="69">
        <f>ROUND((U75/(S75*1000-1000)),2)</f>
        <v>0.99</v>
      </c>
      <c r="W75" s="69">
        <f t="shared" si="9"/>
        <v>1.61</v>
      </c>
      <c r="X75" s="69">
        <f t="shared" si="10"/>
        <v>0.56000000000000005</v>
      </c>
      <c r="AC75">
        <f t="shared" si="11"/>
        <v>6.3000000000000003E-4</v>
      </c>
      <c r="AD75">
        <f t="shared" si="12"/>
        <v>1E-3</v>
      </c>
    </row>
    <row r="76" spans="1:30" x14ac:dyDescent="0.25">
      <c r="A76" s="69" t="s">
        <v>336</v>
      </c>
      <c r="B76" s="69" t="s">
        <v>334</v>
      </c>
      <c r="F76">
        <v>1</v>
      </c>
      <c r="G76" s="69">
        <v>10</v>
      </c>
      <c r="H76" s="69">
        <v>19</v>
      </c>
      <c r="I76" s="70">
        <v>0.08</v>
      </c>
      <c r="J76" s="70">
        <v>0.12</v>
      </c>
      <c r="K76" s="69">
        <v>1.08</v>
      </c>
      <c r="L76" s="69">
        <v>1.1200000000000001</v>
      </c>
      <c r="M76" s="69">
        <v>1.016</v>
      </c>
      <c r="N76" s="69">
        <v>1.016</v>
      </c>
      <c r="O76" s="69">
        <v>50</v>
      </c>
      <c r="P76" s="69">
        <v>100</v>
      </c>
      <c r="Q76" s="69">
        <f>(G76+H76)/2</f>
        <v>14.5</v>
      </c>
      <c r="R76" s="72">
        <f t="shared" si="8"/>
        <v>1E-3</v>
      </c>
      <c r="S76" s="69">
        <f>(K76+L76)/2</f>
        <v>1.1000000000000001</v>
      </c>
      <c r="T76" s="69">
        <f>(M76+N76)/2</f>
        <v>1.016</v>
      </c>
      <c r="U76" s="69">
        <f>(O76+P76)/2</f>
        <v>75</v>
      </c>
      <c r="V76" s="69">
        <f>ROUND((U76/(S76*1000-1000)),2)</f>
        <v>0.75</v>
      </c>
      <c r="W76" s="69">
        <f t="shared" si="9"/>
        <v>1.25</v>
      </c>
      <c r="X76" s="69">
        <f t="shared" si="10"/>
        <v>0.42</v>
      </c>
      <c r="AC76">
        <f t="shared" si="11"/>
        <v>8.0000000000000004E-4</v>
      </c>
      <c r="AD76">
        <f t="shared" si="12"/>
        <v>1.1999999999999999E-3</v>
      </c>
    </row>
    <row r="77" spans="1:30" x14ac:dyDescent="0.25">
      <c r="A77" s="69" t="s">
        <v>337</v>
      </c>
      <c r="B77" s="69" t="s">
        <v>334</v>
      </c>
      <c r="C77">
        <v>1</v>
      </c>
      <c r="G77" s="69">
        <v>8</v>
      </c>
      <c r="H77" s="69">
        <v>15</v>
      </c>
      <c r="I77" s="70">
        <v>0.08</v>
      </c>
      <c r="J77" s="70">
        <v>0.12</v>
      </c>
      <c r="K77" s="69">
        <v>1.08</v>
      </c>
      <c r="L77" s="69">
        <v>1.1200000000000001</v>
      </c>
      <c r="M77" s="69">
        <v>1.016</v>
      </c>
      <c r="N77" s="69">
        <v>1.016</v>
      </c>
      <c r="O77" s="69">
        <v>30</v>
      </c>
      <c r="P77" s="69">
        <v>60</v>
      </c>
      <c r="Q77" s="69">
        <f>(G77+H77)/2</f>
        <v>11.5</v>
      </c>
      <c r="R77" s="72">
        <f t="shared" si="8"/>
        <v>1E-3</v>
      </c>
      <c r="S77" s="69">
        <f>(K77+L77)/2</f>
        <v>1.1000000000000001</v>
      </c>
      <c r="T77" s="69">
        <f>(M77+N77)/2</f>
        <v>1.016</v>
      </c>
      <c r="U77" s="69">
        <f>(O77+P77)/2</f>
        <v>45</v>
      </c>
      <c r="V77" s="69">
        <f>ROUND((U77/(S77*1000-1000)),2)</f>
        <v>0.45</v>
      </c>
      <c r="W77" s="69">
        <f t="shared" si="9"/>
        <v>0.75</v>
      </c>
      <c r="X77" s="69">
        <f t="shared" si="10"/>
        <v>0.25</v>
      </c>
      <c r="AC77">
        <f t="shared" si="11"/>
        <v>8.0000000000000004E-4</v>
      </c>
      <c r="AD77">
        <f t="shared" si="12"/>
        <v>1.1999999999999999E-3</v>
      </c>
    </row>
    <row r="78" spans="1:30" x14ac:dyDescent="0.25">
      <c r="A78" s="69" t="s">
        <v>338</v>
      </c>
      <c r="B78" s="69" t="s">
        <v>339</v>
      </c>
      <c r="G78" s="69">
        <v>2</v>
      </c>
      <c r="H78" s="69">
        <v>3</v>
      </c>
      <c r="I78" s="70">
        <v>2.7999999999999997E-2</v>
      </c>
      <c r="J78" s="70">
        <v>3.7999999999999999E-2</v>
      </c>
      <c r="K78" s="69">
        <v>1.028</v>
      </c>
      <c r="L78" s="69">
        <v>1.032</v>
      </c>
      <c r="M78" s="69">
        <v>1.0029999999999999</v>
      </c>
      <c r="N78" s="69">
        <v>1.016</v>
      </c>
      <c r="O78" s="69">
        <v>3</v>
      </c>
      <c r="P78" s="69">
        <v>8</v>
      </c>
      <c r="Q78" s="69">
        <f>(G78+H78)/2</f>
        <v>2.5</v>
      </c>
      <c r="R78" s="72">
        <f t="shared" si="8"/>
        <v>3.3E-4</v>
      </c>
      <c r="S78" s="69">
        <f>(K78+L78)/2</f>
        <v>1.03</v>
      </c>
      <c r="T78" s="69">
        <f>(M78+N78)/2</f>
        <v>1.0095000000000001</v>
      </c>
      <c r="U78" s="69">
        <f>(O78+P78)/2</f>
        <v>5.5</v>
      </c>
      <c r="V78" s="69">
        <f>ROUND((U78/(S78*1000-1000)),2)</f>
        <v>0.18</v>
      </c>
      <c r="W78" s="69">
        <f t="shared" si="9"/>
        <v>0.28999999999999998</v>
      </c>
      <c r="X78" s="69">
        <f t="shared" si="10"/>
        <v>0.09</v>
      </c>
      <c r="AC78">
        <f t="shared" si="11"/>
        <v>2.7999999999999998E-4</v>
      </c>
      <c r="AD78">
        <f t="shared" si="12"/>
        <v>3.7999999999999997E-4</v>
      </c>
    </row>
    <row r="79" spans="1:30" x14ac:dyDescent="0.25">
      <c r="A79" s="69" t="s">
        <v>340</v>
      </c>
      <c r="B79" s="69" t="s">
        <v>339</v>
      </c>
      <c r="C79">
        <v>1</v>
      </c>
      <c r="G79" s="69">
        <v>10</v>
      </c>
      <c r="H79" s="69">
        <v>16</v>
      </c>
      <c r="I79" s="70">
        <v>4.5999999999999999E-2</v>
      </c>
      <c r="J79" s="70">
        <v>6.5000000000000002E-2</v>
      </c>
      <c r="K79" s="69">
        <v>1.048</v>
      </c>
      <c r="L79" s="69">
        <v>1.0569999999999999</v>
      </c>
      <c r="M79" s="69">
        <v>1.002</v>
      </c>
      <c r="N79" s="69">
        <v>1.016</v>
      </c>
      <c r="O79" s="69">
        <v>10</v>
      </c>
      <c r="P79" s="69">
        <v>25</v>
      </c>
      <c r="Q79" s="69">
        <f>(G79+H79)/2</f>
        <v>13</v>
      </c>
      <c r="R79" s="72">
        <f t="shared" si="8"/>
        <v>5.5500000000000005E-4</v>
      </c>
      <c r="S79" s="69">
        <f>(K79+L79)/2</f>
        <v>1.0525</v>
      </c>
      <c r="T79" s="69">
        <f>(M79+N79)/2</f>
        <v>1.0089999999999999</v>
      </c>
      <c r="U79" s="69">
        <f>(O79+P79)/2</f>
        <v>17.5</v>
      </c>
      <c r="V79" s="69">
        <f>ROUND((U79/(S79*1000-1000)),2)</f>
        <v>0.33</v>
      </c>
      <c r="W79" s="69">
        <f t="shared" si="9"/>
        <v>0.52</v>
      </c>
      <c r="X79" s="69">
        <f t="shared" si="10"/>
        <v>0.18</v>
      </c>
      <c r="AC79">
        <f t="shared" si="11"/>
        <v>4.6000000000000001E-4</v>
      </c>
      <c r="AD79">
        <f t="shared" si="12"/>
        <v>6.4999999999999997E-4</v>
      </c>
    </row>
    <row r="80" spans="1:30" x14ac:dyDescent="0.25">
      <c r="A80" s="69" t="s">
        <v>341</v>
      </c>
      <c r="B80" s="69" t="s">
        <v>339</v>
      </c>
      <c r="D80">
        <v>1</v>
      </c>
      <c r="G80" s="69">
        <v>15</v>
      </c>
      <c r="H80" s="69">
        <v>22</v>
      </c>
      <c r="I80" s="70">
        <v>0.04</v>
      </c>
      <c r="J80" s="70">
        <v>0.08</v>
      </c>
      <c r="K80" s="69">
        <v>1.04</v>
      </c>
      <c r="L80" s="69">
        <v>1.0740000000000001</v>
      </c>
      <c r="M80" s="69">
        <v>1.008</v>
      </c>
      <c r="N80" s="69">
        <v>1.016</v>
      </c>
      <c r="O80" s="69">
        <v>20</v>
      </c>
      <c r="P80" s="69">
        <v>25</v>
      </c>
      <c r="Q80" s="69">
        <f>(G80+H80)/2</f>
        <v>18.5</v>
      </c>
      <c r="R80" s="72">
        <f t="shared" si="8"/>
        <v>5.9999999999999995E-4</v>
      </c>
      <c r="S80" s="69">
        <f>(K80+L80)/2</f>
        <v>1.0569999999999999</v>
      </c>
      <c r="T80" s="69">
        <f>(M80+N80)/2</f>
        <v>1.012</v>
      </c>
      <c r="U80" s="69">
        <f>(O80+P80)/2</f>
        <v>22.5</v>
      </c>
      <c r="V80" s="69">
        <f>ROUND((U80/(S80*1000-1000)),2)</f>
        <v>0.39</v>
      </c>
      <c r="W80" s="69">
        <f t="shared" si="9"/>
        <v>0.63</v>
      </c>
      <c r="X80" s="69">
        <f t="shared" si="10"/>
        <v>0.27</v>
      </c>
      <c r="AC80">
        <f t="shared" si="11"/>
        <v>4.0000000000000002E-4</v>
      </c>
      <c r="AD80">
        <f t="shared" si="12"/>
        <v>8.0000000000000004E-4</v>
      </c>
    </row>
    <row r="81" spans="1:30" x14ac:dyDescent="0.25">
      <c r="A81" s="69" t="s">
        <v>342</v>
      </c>
      <c r="B81" s="69" t="s">
        <v>343</v>
      </c>
      <c r="D81">
        <v>1</v>
      </c>
      <c r="G81" s="69">
        <v>2</v>
      </c>
      <c r="H81" s="69">
        <v>4</v>
      </c>
      <c r="I81" s="70">
        <v>4.4999999999999998E-2</v>
      </c>
      <c r="J81" s="70">
        <v>5.5E-2</v>
      </c>
      <c r="K81" s="69">
        <v>1.044</v>
      </c>
      <c r="L81" s="69">
        <v>1.052</v>
      </c>
      <c r="M81" s="69">
        <v>1.008</v>
      </c>
      <c r="N81" s="69">
        <v>1.016</v>
      </c>
      <c r="O81" s="69">
        <v>8</v>
      </c>
      <c r="P81" s="69">
        <v>20</v>
      </c>
      <c r="Q81" s="69">
        <f>(G81+H81)/2</f>
        <v>3</v>
      </c>
      <c r="R81" s="72">
        <f t="shared" si="8"/>
        <v>5.0000000000000001E-4</v>
      </c>
      <c r="S81" s="69">
        <f>(K81+L81)/2</f>
        <v>1.048</v>
      </c>
      <c r="T81" s="69">
        <f>(M81+N81)/2</f>
        <v>1.012</v>
      </c>
      <c r="U81" s="69">
        <f>(O81+P81)/2</f>
        <v>14</v>
      </c>
      <c r="V81" s="69">
        <f>ROUND((U81/(S81*1000-1000)),2)</f>
        <v>0.28999999999999998</v>
      </c>
      <c r="W81" s="69">
        <f t="shared" si="9"/>
        <v>0.45</v>
      </c>
      <c r="X81" s="69">
        <f t="shared" si="10"/>
        <v>0.15</v>
      </c>
      <c r="AC81">
        <f t="shared" si="11"/>
        <v>4.4999999999999999E-4</v>
      </c>
      <c r="AD81">
        <f t="shared" si="12"/>
        <v>5.5000000000000003E-4</v>
      </c>
    </row>
    <row r="82" spans="1:30" x14ac:dyDescent="0.25">
      <c r="A82" s="69" t="s">
        <v>344</v>
      </c>
      <c r="B82" s="69" t="s">
        <v>343</v>
      </c>
      <c r="C82">
        <v>1</v>
      </c>
      <c r="G82" s="69">
        <v>8</v>
      </c>
      <c r="H82" s="69">
        <v>14</v>
      </c>
      <c r="I82" s="70">
        <v>4.8000000000000001E-2</v>
      </c>
      <c r="J82" s="70">
        <v>5.5E-2</v>
      </c>
      <c r="K82" s="69">
        <v>1.048</v>
      </c>
      <c r="L82" s="69">
        <v>1.054</v>
      </c>
      <c r="M82" s="69">
        <v>1.01</v>
      </c>
      <c r="N82" s="69">
        <v>1.016</v>
      </c>
      <c r="O82" s="69">
        <v>20</v>
      </c>
      <c r="P82" s="69">
        <v>30</v>
      </c>
      <c r="Q82" s="69">
        <f>(G82+H82)/2</f>
        <v>11</v>
      </c>
      <c r="R82" s="72">
        <f t="shared" si="8"/>
        <v>5.1500000000000005E-4</v>
      </c>
      <c r="S82" s="69">
        <f>(K82+L82)/2</f>
        <v>1.0510000000000002</v>
      </c>
      <c r="T82" s="69">
        <f>(M82+N82)/2</f>
        <v>1.0129999999999999</v>
      </c>
      <c r="U82" s="69">
        <f>(O82+P82)/2</f>
        <v>25</v>
      </c>
      <c r="V82" s="69">
        <f>ROUND((U82/(S82*1000-1000)),2)</f>
        <v>0.49</v>
      </c>
      <c r="W82" s="69">
        <f t="shared" si="9"/>
        <v>0.63</v>
      </c>
      <c r="X82" s="69">
        <f t="shared" si="10"/>
        <v>0.37</v>
      </c>
      <c r="AC82">
        <f t="shared" si="11"/>
        <v>4.8000000000000001E-4</v>
      </c>
      <c r="AD82">
        <f t="shared" si="12"/>
        <v>5.5000000000000003E-4</v>
      </c>
    </row>
    <row r="83" spans="1:30" x14ac:dyDescent="0.25">
      <c r="A83" s="69" t="s">
        <v>345</v>
      </c>
      <c r="B83" s="69" t="s">
        <v>343</v>
      </c>
      <c r="D83">
        <v>1</v>
      </c>
      <c r="G83" s="69">
        <v>6</v>
      </c>
      <c r="H83" s="69">
        <v>19</v>
      </c>
      <c r="I83" s="70">
        <v>0.06</v>
      </c>
      <c r="J83" s="70">
        <v>8.5000000000000006E-2</v>
      </c>
      <c r="K83" s="69">
        <v>1.06</v>
      </c>
      <c r="L83" s="69">
        <v>1.08</v>
      </c>
      <c r="M83" s="69">
        <v>1.008</v>
      </c>
      <c r="N83" s="69">
        <v>1.016</v>
      </c>
      <c r="O83" s="69">
        <v>18</v>
      </c>
      <c r="P83" s="69">
        <v>28</v>
      </c>
      <c r="Q83" s="69">
        <f>(G83+H83)/2</f>
        <v>12.5</v>
      </c>
      <c r="R83" s="72">
        <f t="shared" si="8"/>
        <v>7.2500000000000006E-4</v>
      </c>
      <c r="S83" s="69">
        <f>(K83+L83)/2</f>
        <v>1.07</v>
      </c>
      <c r="T83" s="69">
        <f>(M83+N83)/2</f>
        <v>1.012</v>
      </c>
      <c r="U83" s="69">
        <f>(O83+P83)/2</f>
        <v>23</v>
      </c>
      <c r="V83" s="69">
        <f>ROUND((U83/(S83*1000-1000)),2)</f>
        <v>0.33</v>
      </c>
      <c r="W83" s="69">
        <f t="shared" si="9"/>
        <v>0.47</v>
      </c>
      <c r="X83" s="69">
        <f t="shared" si="10"/>
        <v>0.23</v>
      </c>
      <c r="AC83">
        <f t="shared" si="11"/>
        <v>5.9999999999999995E-4</v>
      </c>
      <c r="AD83">
        <f t="shared" si="12"/>
        <v>8.5000000000000006E-4</v>
      </c>
    </row>
    <row r="84" spans="1:30" x14ac:dyDescent="0.25">
      <c r="A84" s="69" t="s">
        <v>346</v>
      </c>
      <c r="B84" s="69" t="s">
        <v>339</v>
      </c>
      <c r="E84">
        <v>1</v>
      </c>
      <c r="G84" s="69">
        <v>3</v>
      </c>
      <c r="H84" s="69">
        <v>7</v>
      </c>
      <c r="I84" s="70">
        <v>0.05</v>
      </c>
      <c r="J84" s="70">
        <v>6.5000000000000002E-2</v>
      </c>
      <c r="K84" s="69">
        <v>1.04</v>
      </c>
      <c r="L84" s="69">
        <v>1.054</v>
      </c>
      <c r="M84" s="69">
        <v>1.0009999999999999</v>
      </c>
      <c r="N84" s="69">
        <v>1.016</v>
      </c>
      <c r="O84" s="69">
        <v>0</v>
      </c>
      <c r="P84" s="69">
        <v>10</v>
      </c>
      <c r="Q84" s="69">
        <f>(G84+H84)/2</f>
        <v>5</v>
      </c>
      <c r="R84" s="72">
        <f t="shared" si="8"/>
        <v>5.7499999999999999E-4</v>
      </c>
      <c r="S84" s="69">
        <f>(K84+L84)/2</f>
        <v>1.0470000000000002</v>
      </c>
      <c r="T84" s="69">
        <f>(M84+N84)/2</f>
        <v>1.0085</v>
      </c>
      <c r="U84" s="69">
        <f>(O84+P84)/2</f>
        <v>5</v>
      </c>
      <c r="V84" s="69">
        <f>ROUND((U84/(S84*1000-1000)),2)</f>
        <v>0.11</v>
      </c>
      <c r="W84" s="69">
        <f t="shared" si="9"/>
        <v>0.25</v>
      </c>
      <c r="X84" s="69">
        <f t="shared" si="10"/>
        <v>0</v>
      </c>
      <c r="AC84">
        <f t="shared" si="11"/>
        <v>5.0000000000000001E-4</v>
      </c>
      <c r="AD84">
        <f t="shared" si="12"/>
        <v>6.4999999999999997E-4</v>
      </c>
    </row>
    <row r="85" spans="1:30" x14ac:dyDescent="0.25">
      <c r="A85" s="69" t="s">
        <v>347</v>
      </c>
      <c r="B85" s="69" t="s">
        <v>339</v>
      </c>
      <c r="E85">
        <v>1</v>
      </c>
      <c r="G85" s="69">
        <v>3</v>
      </c>
      <c r="H85" s="69">
        <v>7</v>
      </c>
      <c r="I85" s="70">
        <v>0.05</v>
      </c>
      <c r="J85" s="70">
        <v>0.08</v>
      </c>
      <c r="K85" s="69">
        <v>1.04</v>
      </c>
      <c r="L85" s="69">
        <v>1.06</v>
      </c>
      <c r="M85" s="69">
        <v>1</v>
      </c>
      <c r="N85" s="69">
        <v>1.016</v>
      </c>
      <c r="O85" s="69">
        <v>0</v>
      </c>
      <c r="P85" s="69">
        <v>10</v>
      </c>
      <c r="Q85" s="69">
        <f>(G85+H85)/2</f>
        <v>5</v>
      </c>
      <c r="R85" s="72">
        <f t="shared" si="8"/>
        <v>6.4999999999999997E-4</v>
      </c>
      <c r="S85" s="69">
        <f>(K85+L85)/2</f>
        <v>1.05</v>
      </c>
      <c r="T85" s="69">
        <f>(M85+N85)/2</f>
        <v>1.008</v>
      </c>
      <c r="U85" s="69">
        <f>(O85+P85)/2</f>
        <v>5</v>
      </c>
      <c r="V85" s="69">
        <f>ROUND((U85/(S85*1000-1000)),2)</f>
        <v>0.1</v>
      </c>
      <c r="W85" s="69">
        <f t="shared" si="9"/>
        <v>0.25</v>
      </c>
      <c r="X85" s="69">
        <f t="shared" si="10"/>
        <v>0</v>
      </c>
      <c r="AC85">
        <f t="shared" si="11"/>
        <v>5.0000000000000001E-4</v>
      </c>
      <c r="AD85">
        <f t="shared" si="12"/>
        <v>8.0000000000000004E-4</v>
      </c>
    </row>
    <row r="86" spans="1:30" x14ac:dyDescent="0.25">
      <c r="A86" s="69" t="s">
        <v>348</v>
      </c>
      <c r="B86" s="69" t="s">
        <v>339</v>
      </c>
      <c r="E86">
        <v>1</v>
      </c>
      <c r="G86" s="69">
        <v>3</v>
      </c>
      <c r="H86" s="69">
        <v>7</v>
      </c>
      <c r="I86" s="70">
        <v>0.05</v>
      </c>
      <c r="J86" s="70">
        <v>7.0000000000000007E-2</v>
      </c>
      <c r="K86" s="69">
        <v>1.04</v>
      </c>
      <c r="L86" s="69">
        <v>1.06</v>
      </c>
      <c r="M86" s="69">
        <v>1</v>
      </c>
      <c r="N86" s="69">
        <v>1.016</v>
      </c>
      <c r="O86" s="69">
        <v>0</v>
      </c>
      <c r="P86" s="69">
        <v>10</v>
      </c>
      <c r="Q86" s="69">
        <f>(G86+H86)/2</f>
        <v>5</v>
      </c>
      <c r="R86" s="72">
        <f t="shared" si="8"/>
        <v>6.0000000000000006E-4</v>
      </c>
      <c r="S86" s="69">
        <f>(K86+L86)/2</f>
        <v>1.05</v>
      </c>
      <c r="T86" s="69">
        <f>(M86+N86)/2</f>
        <v>1.008</v>
      </c>
      <c r="U86" s="69">
        <f>(O86+P86)/2</f>
        <v>5</v>
      </c>
      <c r="V86" s="69">
        <f>ROUND((U86/(S86*1000-1000)),2)</f>
        <v>0.1</v>
      </c>
      <c r="W86" s="69">
        <f t="shared" si="9"/>
        <v>0.25</v>
      </c>
      <c r="X86" s="69">
        <f t="shared" si="10"/>
        <v>0</v>
      </c>
      <c r="AC86">
        <f t="shared" si="11"/>
        <v>5.0000000000000001E-4</v>
      </c>
      <c r="AD86">
        <f t="shared" si="12"/>
        <v>7.000000000000001E-4</v>
      </c>
    </row>
    <row r="87" spans="1:30" x14ac:dyDescent="0.25">
      <c r="A87" s="69" t="s">
        <v>349</v>
      </c>
      <c r="B87" s="69" t="s">
        <v>350</v>
      </c>
      <c r="C87">
        <v>1</v>
      </c>
      <c r="G87" s="69">
        <v>4</v>
      </c>
      <c r="H87" s="69">
        <v>7</v>
      </c>
      <c r="I87" s="70">
        <v>0.06</v>
      </c>
      <c r="J87" s="70">
        <v>7.4999999999999997E-2</v>
      </c>
      <c r="K87" s="69">
        <v>1.0620000000000001</v>
      </c>
      <c r="L87" s="69">
        <v>1.075</v>
      </c>
      <c r="M87" s="69">
        <v>1.008</v>
      </c>
      <c r="N87" s="69">
        <v>1.016</v>
      </c>
      <c r="O87" s="69">
        <v>15</v>
      </c>
      <c r="P87" s="69">
        <v>30</v>
      </c>
      <c r="Q87" s="69">
        <f>(G87+H87)/2</f>
        <v>5.5</v>
      </c>
      <c r="R87" s="72">
        <f t="shared" si="8"/>
        <v>6.7500000000000004E-4</v>
      </c>
      <c r="S87" s="69">
        <f>(K87+L87)/2</f>
        <v>1.0685</v>
      </c>
      <c r="T87" s="69">
        <f>(M87+N87)/2</f>
        <v>1.012</v>
      </c>
      <c r="U87" s="69">
        <f>(O87+P87)/2</f>
        <v>22.5</v>
      </c>
      <c r="V87" s="69">
        <f>ROUND((U87/(S87*1000-1000)),2)</f>
        <v>0.33</v>
      </c>
      <c r="W87" s="69">
        <f t="shared" si="9"/>
        <v>0.48</v>
      </c>
      <c r="X87" s="69">
        <f t="shared" si="10"/>
        <v>0.2</v>
      </c>
      <c r="AC87">
        <f t="shared" si="11"/>
        <v>5.9999999999999995E-4</v>
      </c>
      <c r="AD87">
        <f t="shared" si="12"/>
        <v>7.5000000000000002E-4</v>
      </c>
    </row>
    <row r="88" spans="1:30" x14ac:dyDescent="0.25">
      <c r="A88" s="69" t="s">
        <v>351</v>
      </c>
      <c r="B88" s="69" t="s">
        <v>350</v>
      </c>
      <c r="F88">
        <v>1</v>
      </c>
      <c r="G88" s="69">
        <v>5</v>
      </c>
      <c r="H88" s="69">
        <v>22</v>
      </c>
      <c r="I88" s="70">
        <v>3.5000000000000003E-2</v>
      </c>
      <c r="J88" s="70">
        <v>9.5000000000000001E-2</v>
      </c>
      <c r="K88" s="69">
        <v>1.048</v>
      </c>
      <c r="L88" s="69">
        <v>1.0649999999999999</v>
      </c>
      <c r="M88" s="69">
        <v>1.002</v>
      </c>
      <c r="N88" s="69">
        <v>1.016</v>
      </c>
      <c r="O88" s="69">
        <v>20</v>
      </c>
      <c r="P88" s="69">
        <v>35</v>
      </c>
      <c r="Q88" s="69">
        <f>(G88+H88)/2</f>
        <v>13.5</v>
      </c>
      <c r="R88" s="72">
        <f t="shared" si="8"/>
        <v>6.4999999999999997E-4</v>
      </c>
      <c r="S88" s="69">
        <f>(K88+L88)/2</f>
        <v>1.0565</v>
      </c>
      <c r="T88" s="69">
        <f>(M88+N88)/2</f>
        <v>1.0089999999999999</v>
      </c>
      <c r="U88" s="69">
        <f>(O88+P88)/2</f>
        <v>27.5</v>
      </c>
      <c r="V88" s="69">
        <f>ROUND((U88/(S88*1000-1000)),2)</f>
        <v>0.49</v>
      </c>
      <c r="W88" s="69">
        <f t="shared" si="9"/>
        <v>0.73</v>
      </c>
      <c r="X88" s="69">
        <f t="shared" si="10"/>
        <v>0.31</v>
      </c>
      <c r="AC88">
        <f t="shared" si="11"/>
        <v>3.5000000000000005E-4</v>
      </c>
      <c r="AD88">
        <f t="shared" si="12"/>
        <v>9.5E-4</v>
      </c>
    </row>
    <row r="89" spans="1:30" x14ac:dyDescent="0.25">
      <c r="A89" s="69" t="s">
        <v>352</v>
      </c>
      <c r="B89" s="69" t="s">
        <v>350</v>
      </c>
      <c r="F89">
        <v>1</v>
      </c>
      <c r="G89" s="69">
        <v>3</v>
      </c>
      <c r="H89" s="69">
        <v>6</v>
      </c>
      <c r="I89" s="70">
        <v>7.4999999999999997E-2</v>
      </c>
      <c r="J89" s="70">
        <v>0.105</v>
      </c>
      <c r="K89" s="69">
        <v>1.07</v>
      </c>
      <c r="L89" s="69">
        <v>1.095</v>
      </c>
      <c r="M89" s="69">
        <v>1.0049999999999999</v>
      </c>
      <c r="N89" s="69">
        <v>1.016</v>
      </c>
      <c r="O89" s="69">
        <v>22</v>
      </c>
      <c r="P89" s="69">
        <v>35</v>
      </c>
      <c r="Q89" s="69">
        <f>(G89+H89)/2</f>
        <v>4.5</v>
      </c>
      <c r="R89" s="72">
        <f t="shared" si="8"/>
        <v>8.9999999999999998E-4</v>
      </c>
      <c r="S89" s="69">
        <f>(K89+L89)/2</f>
        <v>1.0825</v>
      </c>
      <c r="T89" s="69">
        <f>(M89+N89)/2</f>
        <v>1.0105</v>
      </c>
      <c r="U89" s="69">
        <f>(O89+P89)/2</f>
        <v>28.5</v>
      </c>
      <c r="V89" s="69">
        <f>ROUND((U89/(S89*1000-1000)),2)</f>
        <v>0.35</v>
      </c>
      <c r="W89" s="69">
        <f t="shared" si="9"/>
        <v>0.5</v>
      </c>
      <c r="X89" s="69">
        <f t="shared" si="10"/>
        <v>0.23</v>
      </c>
      <c r="AC89">
        <f t="shared" si="11"/>
        <v>7.5000000000000002E-4</v>
      </c>
      <c r="AD89">
        <f t="shared" si="12"/>
        <v>1.0499999999999999E-3</v>
      </c>
    </row>
    <row r="90" spans="1:30" x14ac:dyDescent="0.25">
      <c r="A90" s="69" t="s">
        <v>353</v>
      </c>
      <c r="B90" s="69" t="s">
        <v>354</v>
      </c>
      <c r="F90">
        <v>1</v>
      </c>
      <c r="G90" s="69">
        <v>3</v>
      </c>
      <c r="H90" s="69">
        <v>5</v>
      </c>
      <c r="I90" s="70">
        <v>4.8000000000000001E-2</v>
      </c>
      <c r="J90" s="70">
        <v>0.06</v>
      </c>
      <c r="K90" s="69">
        <v>1.044</v>
      </c>
      <c r="L90" s="69">
        <v>1.054</v>
      </c>
      <c r="M90" s="69">
        <v>1.004</v>
      </c>
      <c r="N90" s="69">
        <v>1.016</v>
      </c>
      <c r="O90" s="69">
        <v>25</v>
      </c>
      <c r="P90" s="69">
        <v>45</v>
      </c>
      <c r="Q90" s="69">
        <f>(G90+H90)/2</f>
        <v>4</v>
      </c>
      <c r="R90" s="72">
        <f t="shared" si="8"/>
        <v>5.4000000000000001E-4</v>
      </c>
      <c r="S90" s="69">
        <f>(K90+L90)/2</f>
        <v>1.0489999999999999</v>
      </c>
      <c r="T90" s="69">
        <f>(M90+N90)/2</f>
        <v>1.01</v>
      </c>
      <c r="U90" s="69">
        <f>(O90+P90)/2</f>
        <v>35</v>
      </c>
      <c r="V90" s="69">
        <f>ROUND((U90/(S90*1000-1000)),2)</f>
        <v>0.71</v>
      </c>
      <c r="W90" s="69">
        <f t="shared" si="9"/>
        <v>1.02</v>
      </c>
      <c r="X90" s="69">
        <f t="shared" si="10"/>
        <v>0.46</v>
      </c>
      <c r="AC90">
        <f t="shared" si="11"/>
        <v>4.8000000000000001E-4</v>
      </c>
      <c r="AD90">
        <f t="shared" si="12"/>
        <v>5.9999999999999995E-4</v>
      </c>
    </row>
    <row r="91" spans="1:30" x14ac:dyDescent="0.25">
      <c r="A91" s="69" t="s">
        <v>355</v>
      </c>
      <c r="B91" s="69" t="s">
        <v>354</v>
      </c>
      <c r="D91">
        <v>1</v>
      </c>
      <c r="G91" s="69">
        <v>10</v>
      </c>
      <c r="H91" s="69">
        <v>17</v>
      </c>
      <c r="I91" s="70">
        <v>0.06</v>
      </c>
      <c r="J91" s="70">
        <v>7.5999999999999998E-2</v>
      </c>
      <c r="K91" s="69">
        <v>1.0620000000000001</v>
      </c>
      <c r="L91" s="69">
        <v>1.075</v>
      </c>
      <c r="M91" s="69">
        <v>1.008</v>
      </c>
      <c r="N91" s="69">
        <v>1.016</v>
      </c>
      <c r="O91" s="69">
        <v>15</v>
      </c>
      <c r="P91" s="69">
        <v>25</v>
      </c>
      <c r="Q91" s="69">
        <f>(G91+H91)/2</f>
        <v>13.5</v>
      </c>
      <c r="R91" s="72">
        <f t="shared" si="8"/>
        <v>6.8000000000000005E-4</v>
      </c>
      <c r="S91" s="69">
        <f>(K91+L91)/2</f>
        <v>1.0685</v>
      </c>
      <c r="T91" s="69">
        <f>(M91+N91)/2</f>
        <v>1.012</v>
      </c>
      <c r="U91" s="69">
        <f>(O91+P91)/2</f>
        <v>20</v>
      </c>
      <c r="V91" s="69">
        <f>ROUND((U91/(S91*1000-1000)),2)</f>
        <v>0.28999999999999998</v>
      </c>
      <c r="W91" s="69">
        <f t="shared" si="9"/>
        <v>0.4</v>
      </c>
      <c r="X91" s="69">
        <f t="shared" si="10"/>
        <v>0.2</v>
      </c>
      <c r="AC91">
        <f t="shared" si="11"/>
        <v>5.9999999999999995E-4</v>
      </c>
      <c r="AD91">
        <f t="shared" si="12"/>
        <v>7.5999999999999993E-4</v>
      </c>
    </row>
    <row r="92" spans="1:30" x14ac:dyDescent="0.25">
      <c r="A92" s="69" t="s">
        <v>356</v>
      </c>
      <c r="B92" s="69" t="s">
        <v>354</v>
      </c>
      <c r="F92">
        <v>1</v>
      </c>
      <c r="G92" s="69">
        <v>4.5</v>
      </c>
      <c r="H92" s="69">
        <v>7</v>
      </c>
      <c r="I92" s="70">
        <v>7.4999999999999997E-2</v>
      </c>
      <c r="J92" s="70">
        <v>9.5000000000000001E-2</v>
      </c>
      <c r="K92" s="69">
        <v>1.075</v>
      </c>
      <c r="L92" s="69">
        <v>1.085</v>
      </c>
      <c r="M92" s="69">
        <v>1.008</v>
      </c>
      <c r="N92" s="69">
        <v>1.016</v>
      </c>
      <c r="O92" s="69">
        <v>20</v>
      </c>
      <c r="P92" s="69">
        <v>40</v>
      </c>
      <c r="Q92" s="69">
        <f>(G92+H92)/2</f>
        <v>5.75</v>
      </c>
      <c r="R92" s="72">
        <f t="shared" si="8"/>
        <v>8.4999999999999995E-4</v>
      </c>
      <c r="S92" s="69">
        <f>(K92+L92)/2</f>
        <v>1.08</v>
      </c>
      <c r="T92" s="69">
        <f>(M92+N92)/2</f>
        <v>1.012</v>
      </c>
      <c r="U92" s="69">
        <f>(O92+P92)/2</f>
        <v>30</v>
      </c>
      <c r="V92" s="69">
        <f>ROUND((U92/(S92*1000-1000)),2)</f>
        <v>0.38</v>
      </c>
      <c r="W92" s="69">
        <f t="shared" si="9"/>
        <v>0.53</v>
      </c>
      <c r="X92" s="69">
        <f t="shared" si="10"/>
        <v>0.24</v>
      </c>
      <c r="AC92">
        <f t="shared" si="11"/>
        <v>7.5000000000000002E-4</v>
      </c>
      <c r="AD92">
        <f t="shared" si="12"/>
        <v>9.5E-4</v>
      </c>
    </row>
    <row r="93" spans="1:30" x14ac:dyDescent="0.25">
      <c r="A93" s="69" t="s">
        <v>357</v>
      </c>
      <c r="B93" s="69" t="s">
        <v>354</v>
      </c>
      <c r="D93">
        <v>1</v>
      </c>
      <c r="G93" s="69">
        <v>12</v>
      </c>
      <c r="H93" s="69">
        <v>22</v>
      </c>
      <c r="I93" s="70">
        <v>0.08</v>
      </c>
      <c r="J93" s="70">
        <v>0.12</v>
      </c>
      <c r="K93" s="69">
        <v>1.075</v>
      </c>
      <c r="L93" s="69">
        <v>1.1100000000000001</v>
      </c>
      <c r="M93" s="69">
        <v>1.01</v>
      </c>
      <c r="N93" s="69">
        <v>1.016</v>
      </c>
      <c r="O93" s="69">
        <v>20</v>
      </c>
      <c r="P93" s="69">
        <v>35</v>
      </c>
      <c r="Q93" s="69">
        <f>(G93+H93)/2</f>
        <v>17</v>
      </c>
      <c r="R93" s="72">
        <f t="shared" si="8"/>
        <v>1E-3</v>
      </c>
      <c r="S93" s="69">
        <f>(K93+L93)/2</f>
        <v>1.0925</v>
      </c>
      <c r="T93" s="69">
        <f>(M93+N93)/2</f>
        <v>1.0129999999999999</v>
      </c>
      <c r="U93" s="69">
        <f>(O93+P93)/2</f>
        <v>27.5</v>
      </c>
      <c r="V93" s="69">
        <f>ROUND((U93/(S93*1000-1000)),2)</f>
        <v>0.3</v>
      </c>
      <c r="W93" s="69">
        <f t="shared" si="9"/>
        <v>0.47</v>
      </c>
      <c r="X93" s="69">
        <f t="shared" si="10"/>
        <v>0.18</v>
      </c>
      <c r="AC93">
        <f t="shared" si="11"/>
        <v>8.0000000000000004E-4</v>
      </c>
      <c r="AD93">
        <f t="shared" si="12"/>
        <v>1.1999999999999999E-3</v>
      </c>
    </row>
    <row r="94" spans="1:30" x14ac:dyDescent="0.25">
      <c r="A94" s="69" t="s">
        <v>358</v>
      </c>
      <c r="B94" s="69" t="s">
        <v>359</v>
      </c>
      <c r="E94">
        <v>1</v>
      </c>
      <c r="G94" s="69">
        <v>3</v>
      </c>
      <c r="H94" s="69">
        <v>4</v>
      </c>
      <c r="I94" s="70">
        <v>4.2000000000000003E-2</v>
      </c>
      <c r="J94" s="70">
        <v>4.8000000000000001E-2</v>
      </c>
      <c r="K94" s="69">
        <v>1.036</v>
      </c>
      <c r="L94" s="69">
        <v>1.056</v>
      </c>
      <c r="M94" s="69">
        <v>1.006</v>
      </c>
      <c r="N94" s="69">
        <v>1.016</v>
      </c>
      <c r="O94" s="69">
        <v>5</v>
      </c>
      <c r="P94" s="69">
        <v>12</v>
      </c>
      <c r="Q94" s="69">
        <f>(G94+H94)/2</f>
        <v>3.5</v>
      </c>
      <c r="R94" s="72">
        <f t="shared" si="8"/>
        <v>4.4999999999999999E-4</v>
      </c>
      <c r="S94" s="69">
        <f>(K94+L94)/2</f>
        <v>1.046</v>
      </c>
      <c r="T94" s="69">
        <f>(M94+N94)/2</f>
        <v>1.0110000000000001</v>
      </c>
      <c r="U94" s="69">
        <f>(O94+P94)/2</f>
        <v>8.5</v>
      </c>
      <c r="V94" s="69">
        <f>ROUND((U94/(S94*1000-1000)),2)</f>
        <v>0.18</v>
      </c>
      <c r="W94" s="69">
        <f t="shared" si="9"/>
        <v>0.33</v>
      </c>
      <c r="X94" s="69">
        <f t="shared" si="10"/>
        <v>0.09</v>
      </c>
      <c r="AC94">
        <f t="shared" si="11"/>
        <v>4.2000000000000002E-4</v>
      </c>
      <c r="AD94">
        <f t="shared" si="12"/>
        <v>4.8000000000000001E-4</v>
      </c>
    </row>
    <row r="95" spans="1:30" x14ac:dyDescent="0.25">
      <c r="A95" s="69" t="s">
        <v>360</v>
      </c>
      <c r="B95" s="69" t="s">
        <v>359</v>
      </c>
      <c r="C95">
        <v>1</v>
      </c>
      <c r="G95" s="69">
        <v>11</v>
      </c>
      <c r="H95" s="69">
        <v>20</v>
      </c>
      <c r="I95" s="70">
        <v>0.04</v>
      </c>
      <c r="J95" s="70">
        <v>5.5E-2</v>
      </c>
      <c r="K95" s="69">
        <v>1.044</v>
      </c>
      <c r="L95" s="69">
        <v>1.0549999999999999</v>
      </c>
      <c r="M95" s="69">
        <v>1.01</v>
      </c>
      <c r="N95" s="69">
        <v>1.016</v>
      </c>
      <c r="O95" s="69">
        <v>15</v>
      </c>
      <c r="P95" s="69">
        <v>30</v>
      </c>
      <c r="Q95" s="69">
        <f>(G95+H95)/2</f>
        <v>15.5</v>
      </c>
      <c r="R95" s="72">
        <f t="shared" si="8"/>
        <v>4.75E-4</v>
      </c>
      <c r="S95" s="69">
        <f>(K95+L95)/2</f>
        <v>1.0495000000000001</v>
      </c>
      <c r="T95" s="69">
        <f>(M95+N95)/2</f>
        <v>1.0129999999999999</v>
      </c>
      <c r="U95" s="69">
        <f>(O95+P95)/2</f>
        <v>22.5</v>
      </c>
      <c r="V95" s="69">
        <f>ROUND((U95/(S95*1000-1000)),2)</f>
        <v>0.45</v>
      </c>
      <c r="W95" s="69">
        <f t="shared" si="9"/>
        <v>0.68</v>
      </c>
      <c r="X95" s="69">
        <f t="shared" si="10"/>
        <v>0.27</v>
      </c>
      <c r="AC95">
        <f t="shared" si="11"/>
        <v>4.0000000000000002E-4</v>
      </c>
      <c r="AD95">
        <f t="shared" si="12"/>
        <v>5.5000000000000003E-4</v>
      </c>
    </row>
    <row r="96" spans="1:30" x14ac:dyDescent="0.25">
      <c r="A96" s="69" t="s">
        <v>361</v>
      </c>
      <c r="B96" s="69" t="s">
        <v>359</v>
      </c>
      <c r="E96">
        <v>1</v>
      </c>
      <c r="G96" s="69">
        <v>3</v>
      </c>
      <c r="H96" s="69">
        <v>6</v>
      </c>
      <c r="I96" s="70">
        <v>3.5000000000000003E-2</v>
      </c>
      <c r="J96" s="70">
        <v>4.7E-2</v>
      </c>
      <c r="K96" s="69">
        <v>1.032</v>
      </c>
      <c r="L96" s="69">
        <v>1.04</v>
      </c>
      <c r="M96" s="69">
        <v>1.004</v>
      </c>
      <c r="N96" s="69">
        <v>1.016</v>
      </c>
      <c r="O96" s="69">
        <v>5</v>
      </c>
      <c r="P96" s="69">
        <v>12</v>
      </c>
      <c r="Q96" s="69">
        <f>(G96+H96)/2</f>
        <v>4.5</v>
      </c>
      <c r="R96" s="72">
        <f t="shared" si="8"/>
        <v>4.0999999999999999E-4</v>
      </c>
      <c r="S96" s="69">
        <f>(K96+L96)/2</f>
        <v>1.036</v>
      </c>
      <c r="T96" s="69">
        <f>(M96+N96)/2</f>
        <v>1.01</v>
      </c>
      <c r="U96" s="69">
        <f>(O96+P96)/2</f>
        <v>8.5</v>
      </c>
      <c r="V96" s="69">
        <f>ROUND((U96/(S96*1000-1000)),2)</f>
        <v>0.24</v>
      </c>
      <c r="W96" s="69">
        <f t="shared" si="9"/>
        <v>0.38</v>
      </c>
      <c r="X96" s="69">
        <f t="shared" si="10"/>
        <v>0.13</v>
      </c>
      <c r="AC96">
        <f t="shared" si="11"/>
        <v>3.5000000000000005E-4</v>
      </c>
      <c r="AD96">
        <f t="shared" si="12"/>
        <v>4.6999999999999999E-4</v>
      </c>
    </row>
    <row r="97" spans="1:30" x14ac:dyDescent="0.25">
      <c r="A97" s="69" t="s">
        <v>362</v>
      </c>
      <c r="B97" s="69" t="s">
        <v>359</v>
      </c>
      <c r="D97">
        <v>1</v>
      </c>
      <c r="G97" s="69">
        <v>15</v>
      </c>
      <c r="H97" s="69">
        <v>20</v>
      </c>
      <c r="I97" s="70">
        <v>2.7999999999999997E-2</v>
      </c>
      <c r="J97" s="70">
        <v>3.6000000000000004E-2</v>
      </c>
      <c r="K97" s="69">
        <v>1.0329999999999999</v>
      </c>
      <c r="L97" s="69">
        <v>1.038</v>
      </c>
      <c r="M97" s="69">
        <v>1.012</v>
      </c>
      <c r="N97" s="69">
        <v>1.016</v>
      </c>
      <c r="O97" s="69">
        <v>15</v>
      </c>
      <c r="P97" s="69">
        <v>20</v>
      </c>
      <c r="Q97" s="69">
        <f>(G97+H97)/2</f>
        <v>17.5</v>
      </c>
      <c r="R97" s="72">
        <f t="shared" si="8"/>
        <v>3.2000000000000003E-4</v>
      </c>
      <c r="S97" s="69">
        <f>(K97+L97)/2</f>
        <v>1.0354999999999999</v>
      </c>
      <c r="T97" s="69">
        <f>(M97+N97)/2</f>
        <v>1.014</v>
      </c>
      <c r="U97" s="69">
        <f>(O97+P97)/2</f>
        <v>17.5</v>
      </c>
      <c r="V97" s="69">
        <f>ROUND((U97/(S97*1000-1000)),2)</f>
        <v>0.49</v>
      </c>
      <c r="W97" s="69">
        <f t="shared" si="9"/>
        <v>0.61</v>
      </c>
      <c r="X97" s="69">
        <f t="shared" si="10"/>
        <v>0.39</v>
      </c>
      <c r="AC97">
        <f t="shared" si="11"/>
        <v>2.7999999999999998E-4</v>
      </c>
      <c r="AD97">
        <f t="shared" si="12"/>
        <v>3.6000000000000002E-4</v>
      </c>
    </row>
    <row r="98" spans="1:30" x14ac:dyDescent="0.25">
      <c r="A98" s="69" t="s">
        <v>363</v>
      </c>
      <c r="B98" s="69" t="s">
        <v>359</v>
      </c>
      <c r="F98">
        <v>1</v>
      </c>
      <c r="G98" s="69">
        <v>3</v>
      </c>
      <c r="H98" s="69">
        <v>6</v>
      </c>
      <c r="I98" s="70">
        <v>2.5000000000000001E-2</v>
      </c>
      <c r="J98" s="70">
        <v>3.3000000000000002E-2</v>
      </c>
      <c r="K98" s="69">
        <v>1.028</v>
      </c>
      <c r="L98" s="69">
        <v>1.032</v>
      </c>
      <c r="M98" s="69">
        <v>1.006</v>
      </c>
      <c r="N98" s="69">
        <v>1.016</v>
      </c>
      <c r="O98" s="69">
        <v>20</v>
      </c>
      <c r="P98" s="69">
        <v>35</v>
      </c>
      <c r="Q98" s="69">
        <f>(G98+H98)/2</f>
        <v>4.5</v>
      </c>
      <c r="R98" s="72">
        <f t="shared" si="8"/>
        <v>2.9E-4</v>
      </c>
      <c r="S98" s="69">
        <f>(K98+L98)/2</f>
        <v>1.03</v>
      </c>
      <c r="T98" s="69">
        <f>(M98+N98)/2</f>
        <v>1.0110000000000001</v>
      </c>
      <c r="U98" s="69">
        <f>(O98+P98)/2</f>
        <v>27.5</v>
      </c>
      <c r="V98" s="69">
        <f>ROUND((U98/(S98*1000-1000)),2)</f>
        <v>0.92</v>
      </c>
      <c r="W98" s="69">
        <f t="shared" si="9"/>
        <v>1.25</v>
      </c>
      <c r="X98" s="69">
        <f t="shared" si="10"/>
        <v>0.63</v>
      </c>
      <c r="AC98">
        <f t="shared" si="11"/>
        <v>2.5000000000000001E-4</v>
      </c>
      <c r="AD98">
        <f t="shared" si="12"/>
        <v>3.3E-4</v>
      </c>
    </row>
    <row r="99" spans="1:30" x14ac:dyDescent="0.25">
      <c r="A99" s="69" t="s">
        <v>364</v>
      </c>
      <c r="B99" s="69" t="s">
        <v>359</v>
      </c>
      <c r="F99">
        <v>1</v>
      </c>
      <c r="G99" s="69">
        <v>3</v>
      </c>
      <c r="H99" s="69">
        <v>6</v>
      </c>
      <c r="I99" s="70">
        <v>4.4999999999999998E-2</v>
      </c>
      <c r="J99" s="70">
        <v>0.06</v>
      </c>
      <c r="K99" s="69">
        <v>1.044</v>
      </c>
      <c r="L99" s="69">
        <v>1.06</v>
      </c>
      <c r="M99" s="69">
        <v>1.01</v>
      </c>
      <c r="N99" s="69">
        <v>1.016</v>
      </c>
      <c r="O99" s="69">
        <v>25</v>
      </c>
      <c r="P99" s="69">
        <v>40</v>
      </c>
      <c r="Q99" s="69">
        <f>(G99+H99)/2</f>
        <v>4.5</v>
      </c>
      <c r="R99" s="72">
        <f t="shared" si="8"/>
        <v>5.2499999999999997E-4</v>
      </c>
      <c r="S99" s="69">
        <f>(K99+L99)/2</f>
        <v>1.052</v>
      </c>
      <c r="T99" s="69">
        <f>(M99+N99)/2</f>
        <v>1.0129999999999999</v>
      </c>
      <c r="U99" s="69">
        <f>(O99+P99)/2</f>
        <v>32.5</v>
      </c>
      <c r="V99" s="69">
        <f>ROUND((U99/(S99*1000-1000)),2)</f>
        <v>0.63</v>
      </c>
      <c r="W99" s="69">
        <f t="shared" si="9"/>
        <v>0.91</v>
      </c>
      <c r="X99" s="69">
        <f t="shared" si="10"/>
        <v>0.42</v>
      </c>
      <c r="AC99">
        <f t="shared" si="11"/>
        <v>4.4999999999999999E-4</v>
      </c>
      <c r="AD99">
        <f t="shared" si="12"/>
        <v>5.9999999999999995E-4</v>
      </c>
    </row>
    <row r="100" spans="1:30" x14ac:dyDescent="0.25">
      <c r="A100" s="69" t="s">
        <v>365</v>
      </c>
      <c r="B100" s="69" t="s">
        <v>359</v>
      </c>
      <c r="D100">
        <v>1</v>
      </c>
      <c r="G100" s="69">
        <v>18</v>
      </c>
      <c r="H100" s="69">
        <v>30</v>
      </c>
      <c r="I100" s="70">
        <v>4.4999999999999998E-2</v>
      </c>
      <c r="J100" s="70">
        <v>0.06</v>
      </c>
      <c r="K100" s="69">
        <v>1.046</v>
      </c>
      <c r="L100" s="69">
        <v>1.06</v>
      </c>
      <c r="M100" s="69">
        <v>1.01</v>
      </c>
      <c r="N100" s="69">
        <v>1.016</v>
      </c>
      <c r="O100" s="69">
        <v>20</v>
      </c>
      <c r="P100" s="69">
        <v>30</v>
      </c>
      <c r="Q100" s="69">
        <f>(G100+H100)/2</f>
        <v>24</v>
      </c>
      <c r="R100" s="72">
        <f t="shared" si="8"/>
        <v>5.2499999999999997E-4</v>
      </c>
      <c r="S100" s="69">
        <f>(K100+L100)/2</f>
        <v>1.0529999999999999</v>
      </c>
      <c r="T100" s="69">
        <f>(M100+N100)/2</f>
        <v>1.0129999999999999</v>
      </c>
      <c r="U100" s="69">
        <f>(O100+P100)/2</f>
        <v>25</v>
      </c>
      <c r="V100" s="69">
        <f>ROUND((U100/(S100*1000-1000)),2)</f>
        <v>0.47</v>
      </c>
      <c r="W100" s="69">
        <f t="shared" si="9"/>
        <v>0.65</v>
      </c>
      <c r="X100" s="69">
        <f t="shared" si="10"/>
        <v>0.33</v>
      </c>
      <c r="AC100">
        <f t="shared" si="11"/>
        <v>4.4999999999999999E-4</v>
      </c>
      <c r="AD100">
        <f t="shared" si="12"/>
        <v>5.9999999999999995E-4</v>
      </c>
    </row>
    <row r="101" spans="1:30" x14ac:dyDescent="0.25">
      <c r="A101" s="69" t="s">
        <v>366</v>
      </c>
      <c r="B101" s="69" t="s">
        <v>359</v>
      </c>
      <c r="E101">
        <v>1</v>
      </c>
      <c r="G101" s="69">
        <v>14</v>
      </c>
      <c r="H101" s="69">
        <v>19</v>
      </c>
      <c r="I101" s="70">
        <v>4.4999999999999998E-2</v>
      </c>
      <c r="J101" s="70">
        <v>0.06</v>
      </c>
      <c r="K101" s="69">
        <v>1.046</v>
      </c>
      <c r="L101" s="69">
        <v>1.056</v>
      </c>
      <c r="M101" s="69">
        <v>1.01</v>
      </c>
      <c r="N101" s="69">
        <v>1.016</v>
      </c>
      <c r="O101" s="69">
        <v>10</v>
      </c>
      <c r="P101" s="69">
        <v>20</v>
      </c>
      <c r="Q101" s="69">
        <f>(G101+H101)/2</f>
        <v>16.5</v>
      </c>
      <c r="R101" s="72">
        <f t="shared" si="8"/>
        <v>5.2499999999999997E-4</v>
      </c>
      <c r="S101" s="69">
        <f>(K101+L101)/2</f>
        <v>1.0510000000000002</v>
      </c>
      <c r="T101" s="69">
        <f>(M101+N101)/2</f>
        <v>1.0129999999999999</v>
      </c>
      <c r="U101" s="69">
        <f>(O101+P101)/2</f>
        <v>15</v>
      </c>
      <c r="V101" s="69">
        <f>ROUND((U101/(S101*1000-1000)),2)</f>
        <v>0.28999999999999998</v>
      </c>
      <c r="W101" s="69">
        <f t="shared" si="9"/>
        <v>0.43</v>
      </c>
      <c r="X101" s="69">
        <f t="shared" si="10"/>
        <v>0.18</v>
      </c>
      <c r="AC101">
        <f t="shared" si="11"/>
        <v>4.4999999999999999E-4</v>
      </c>
      <c r="AD101">
        <f t="shared" si="12"/>
        <v>5.9999999999999995E-4</v>
      </c>
    </row>
    <row r="102" spans="1:30" x14ac:dyDescent="0.25">
      <c r="A102" s="69" t="s">
        <v>367</v>
      </c>
      <c r="B102" s="69" t="s">
        <v>359</v>
      </c>
      <c r="E102">
        <v>1</v>
      </c>
      <c r="G102" s="69">
        <v>4</v>
      </c>
      <c r="H102" s="69">
        <v>22</v>
      </c>
      <c r="I102" s="70">
        <v>7.0000000000000007E-2</v>
      </c>
      <c r="J102" s="70">
        <v>0.11</v>
      </c>
      <c r="K102" s="69">
        <v>1.0760000000000001</v>
      </c>
      <c r="L102" s="69">
        <v>1.1200000000000001</v>
      </c>
      <c r="M102" s="69">
        <v>1.016</v>
      </c>
      <c r="N102" s="69">
        <v>1.016</v>
      </c>
      <c r="O102" s="69">
        <v>7</v>
      </c>
      <c r="P102" s="69">
        <v>15</v>
      </c>
      <c r="Q102" s="69">
        <f>(G102+H102)/2</f>
        <v>13</v>
      </c>
      <c r="R102" s="72">
        <f t="shared" si="8"/>
        <v>8.9999999999999998E-4</v>
      </c>
      <c r="S102" s="69">
        <f>(K102+L102)/2</f>
        <v>1.0980000000000001</v>
      </c>
      <c r="T102" s="69">
        <f>(M102+N102)/2</f>
        <v>1.016</v>
      </c>
      <c r="U102" s="69">
        <f>(O102+P102)/2</f>
        <v>11</v>
      </c>
      <c r="V102" s="69">
        <f>ROUND((U102/(S102*1000-1000)),2)</f>
        <v>0.11</v>
      </c>
      <c r="W102" s="69">
        <f t="shared" si="9"/>
        <v>0.2</v>
      </c>
      <c r="X102" s="69">
        <f t="shared" si="10"/>
        <v>0.06</v>
      </c>
      <c r="AC102">
        <f t="shared" si="11"/>
        <v>7.000000000000001E-4</v>
      </c>
      <c r="AD102">
        <f t="shared" si="12"/>
        <v>1.1000000000000001E-3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BE0C4-B859-4DF1-B635-49905F088B0B}">
  <dimension ref="A1:J23"/>
  <sheetViews>
    <sheetView topLeftCell="A3" workbookViewId="0">
      <selection activeCell="E11" sqref="E11"/>
    </sheetView>
  </sheetViews>
  <sheetFormatPr defaultRowHeight="15" x14ac:dyDescent="0.25"/>
  <cols>
    <col min="1" max="1" width="27.42578125" bestFit="1" customWidth="1"/>
    <col min="5" max="5" width="9.140625" customWidth="1"/>
    <col min="6" max="6" width="13.85546875" bestFit="1" customWidth="1"/>
    <col min="7" max="7" width="12" bestFit="1" customWidth="1"/>
    <col min="8" max="8" width="10.5703125" bestFit="1" customWidth="1"/>
    <col min="9" max="10" width="17" bestFit="1" customWidth="1"/>
  </cols>
  <sheetData>
    <row r="1" spans="1:10" x14ac:dyDescent="0.25">
      <c r="A1" s="51" t="s">
        <v>234</v>
      </c>
      <c r="D1" t="s">
        <v>233</v>
      </c>
      <c r="E1" s="63"/>
    </row>
    <row r="2" spans="1:10" x14ac:dyDescent="0.25">
      <c r="A2" t="s">
        <v>232</v>
      </c>
      <c r="B2" s="1">
        <v>5</v>
      </c>
      <c r="C2" t="s">
        <v>231</v>
      </c>
      <c r="G2" s="62" t="s">
        <v>230</v>
      </c>
      <c r="H2" s="65" t="s">
        <v>229</v>
      </c>
      <c r="I2" s="65"/>
      <c r="J2" s="62" t="s">
        <v>228</v>
      </c>
    </row>
    <row r="3" spans="1:10" x14ac:dyDescent="0.25">
      <c r="A3" t="s">
        <v>227</v>
      </c>
      <c r="B3" s="61">
        <v>0.7</v>
      </c>
      <c r="G3" s="59" t="s">
        <v>226</v>
      </c>
      <c r="H3" s="57">
        <v>1</v>
      </c>
      <c r="I3" s="5" t="s">
        <v>211</v>
      </c>
      <c r="J3" s="3">
        <f>B3-0.02</f>
        <v>0.67999999999999994</v>
      </c>
    </row>
    <row r="4" spans="1:10" x14ac:dyDescent="0.25">
      <c r="D4" s="60" t="s">
        <v>3</v>
      </c>
      <c r="E4" s="60" t="s">
        <v>225</v>
      </c>
      <c r="G4" s="59" t="s">
        <v>224</v>
      </c>
      <c r="H4" s="57">
        <v>1</v>
      </c>
      <c r="I4" s="5" t="s">
        <v>211</v>
      </c>
      <c r="J4" s="3">
        <f>IF(B3=0.65, 0.52,IF(B3=0.7, 0.56,IF(B3=0.75, 0.6,IF(B3=0.8, 0.64))))</f>
        <v>0.56000000000000005</v>
      </c>
    </row>
    <row r="5" spans="1:10" x14ac:dyDescent="0.25">
      <c r="A5" t="s">
        <v>211</v>
      </c>
      <c r="B5" s="1">
        <v>7</v>
      </c>
      <c r="C5" t="s">
        <v>1</v>
      </c>
      <c r="D5" s="8">
        <f t="shared" ref="D5:D10" si="0">$B$3*E5</f>
        <v>24.5</v>
      </c>
      <c r="E5" s="2">
        <v>35</v>
      </c>
      <c r="G5" s="64" t="s">
        <v>216</v>
      </c>
      <c r="H5" s="55">
        <v>0.65</v>
      </c>
      <c r="I5" s="5" t="s">
        <v>223</v>
      </c>
      <c r="J5" s="2">
        <v>1.2</v>
      </c>
    </row>
    <row r="6" spans="1:10" x14ac:dyDescent="0.25">
      <c r="A6" t="s">
        <v>223</v>
      </c>
      <c r="B6" s="1">
        <v>0</v>
      </c>
      <c r="C6" t="s">
        <v>1</v>
      </c>
      <c r="D6" s="8">
        <f t="shared" si="0"/>
        <v>25.9</v>
      </c>
      <c r="E6" s="2">
        <v>37</v>
      </c>
      <c r="G6" s="64"/>
      <c r="H6" s="58">
        <f>1-H5</f>
        <v>0.35</v>
      </c>
      <c r="I6" s="5" t="s">
        <v>211</v>
      </c>
      <c r="J6" s="5"/>
    </row>
    <row r="7" spans="1:10" x14ac:dyDescent="0.25">
      <c r="A7" t="s">
        <v>221</v>
      </c>
      <c r="B7" s="1">
        <v>0</v>
      </c>
      <c r="C7" t="s">
        <v>1</v>
      </c>
      <c r="D7" s="8">
        <f t="shared" si="0"/>
        <v>24.5</v>
      </c>
      <c r="E7" s="2">
        <v>35</v>
      </c>
      <c r="G7" s="64" t="s">
        <v>206</v>
      </c>
      <c r="H7" s="55">
        <v>0.65</v>
      </c>
      <c r="I7" s="5" t="s">
        <v>223</v>
      </c>
      <c r="J7" s="2">
        <v>0.88</v>
      </c>
    </row>
    <row r="8" spans="1:10" x14ac:dyDescent="0.25">
      <c r="A8" t="s">
        <v>218</v>
      </c>
      <c r="B8" s="1">
        <v>3</v>
      </c>
      <c r="C8" t="s">
        <v>1</v>
      </c>
      <c r="D8" s="8">
        <f t="shared" si="0"/>
        <v>24.5</v>
      </c>
      <c r="E8" s="2">
        <v>35</v>
      </c>
      <c r="G8" s="64"/>
      <c r="H8" s="56">
        <f>1-H7</f>
        <v>0.35</v>
      </c>
      <c r="I8" s="5" t="s">
        <v>211</v>
      </c>
      <c r="J8" s="5"/>
    </row>
    <row r="9" spans="1:10" x14ac:dyDescent="0.25">
      <c r="A9" t="s">
        <v>222</v>
      </c>
      <c r="B9" s="1">
        <v>0</v>
      </c>
      <c r="C9" t="s">
        <v>1</v>
      </c>
      <c r="D9" s="8">
        <f t="shared" si="0"/>
        <v>19.599999999999998</v>
      </c>
      <c r="E9" s="2">
        <v>28</v>
      </c>
      <c r="G9" s="53" t="s">
        <v>221</v>
      </c>
      <c r="H9" s="57">
        <v>1</v>
      </c>
      <c r="I9" s="5" t="s">
        <v>221</v>
      </c>
      <c r="J9" s="3">
        <f>B3-0.02</f>
        <v>0.67999999999999994</v>
      </c>
    </row>
    <row r="10" spans="1:10" x14ac:dyDescent="0.25">
      <c r="A10" t="s">
        <v>220</v>
      </c>
      <c r="B10" s="1">
        <v>0</v>
      </c>
      <c r="C10" t="s">
        <v>1</v>
      </c>
      <c r="D10" s="8">
        <f t="shared" si="0"/>
        <v>23.799999999999997</v>
      </c>
      <c r="E10" s="2">
        <v>34</v>
      </c>
      <c r="G10" s="64" t="s">
        <v>212</v>
      </c>
      <c r="H10" s="55">
        <v>0.5</v>
      </c>
      <c r="I10" s="5" t="s">
        <v>218</v>
      </c>
      <c r="J10" s="2">
        <v>1.5</v>
      </c>
    </row>
    <row r="11" spans="1:10" x14ac:dyDescent="0.25">
      <c r="A11" s="6" t="s">
        <v>2</v>
      </c>
      <c r="B11" s="3">
        <f>SUM(B5:B10)</f>
        <v>10</v>
      </c>
      <c r="C11" t="s">
        <v>1</v>
      </c>
      <c r="G11" s="64"/>
      <c r="H11" s="56">
        <f>1-H10</f>
        <v>0.5</v>
      </c>
      <c r="I11" s="5" t="s">
        <v>211</v>
      </c>
      <c r="J11" s="5"/>
    </row>
    <row r="12" spans="1:10" x14ac:dyDescent="0.25">
      <c r="A12" s="51" t="s">
        <v>219</v>
      </c>
      <c r="G12" s="66" t="s">
        <v>202</v>
      </c>
      <c r="H12" s="55">
        <v>0.5</v>
      </c>
      <c r="I12" s="5" t="s">
        <v>218</v>
      </c>
      <c r="J12" s="2">
        <v>1.3</v>
      </c>
    </row>
    <row r="13" spans="1:10" x14ac:dyDescent="0.25">
      <c r="A13" t="s">
        <v>217</v>
      </c>
      <c r="B13" s="49">
        <f>B5*J3-B14*H6-B16*H11-B17*H16</f>
        <v>2.5099999999999998</v>
      </c>
      <c r="C13" t="s">
        <v>1</v>
      </c>
      <c r="D13" s="2">
        <v>36</v>
      </c>
      <c r="G13" s="67"/>
      <c r="H13" s="56">
        <f>1-H12</f>
        <v>0.5</v>
      </c>
      <c r="I13" s="5" t="s">
        <v>211</v>
      </c>
      <c r="J13" s="5"/>
    </row>
    <row r="14" spans="1:10" x14ac:dyDescent="0.25">
      <c r="A14" t="s">
        <v>216</v>
      </c>
      <c r="B14" s="48">
        <f>B6*J5</f>
        <v>0</v>
      </c>
      <c r="C14" t="s">
        <v>1</v>
      </c>
      <c r="D14" s="47">
        <v>36</v>
      </c>
      <c r="G14" s="64" t="s">
        <v>210</v>
      </c>
      <c r="H14" s="55">
        <v>0.2</v>
      </c>
      <c r="I14" s="5" t="s">
        <v>215</v>
      </c>
      <c r="J14" s="2">
        <v>1.3</v>
      </c>
    </row>
    <row r="15" spans="1:10" x14ac:dyDescent="0.25">
      <c r="A15" t="s">
        <v>214</v>
      </c>
      <c r="B15" s="48">
        <f>B7*J9</f>
        <v>0</v>
      </c>
      <c r="C15" t="s">
        <v>1</v>
      </c>
      <c r="D15" s="2">
        <v>36</v>
      </c>
      <c r="G15" s="64"/>
      <c r="H15" s="54">
        <v>0.1</v>
      </c>
      <c r="I15" s="5" t="s">
        <v>213</v>
      </c>
      <c r="J15" s="5"/>
    </row>
    <row r="16" spans="1:10" x14ac:dyDescent="0.25">
      <c r="A16" t="s">
        <v>212</v>
      </c>
      <c r="B16" s="48">
        <f>B8*J10</f>
        <v>4.5</v>
      </c>
      <c r="C16" t="s">
        <v>1</v>
      </c>
      <c r="D16" s="2">
        <v>36</v>
      </c>
      <c r="G16" s="64"/>
      <c r="H16" s="52">
        <f>1-H14-H15</f>
        <v>0.70000000000000007</v>
      </c>
      <c r="I16" s="5" t="s">
        <v>211</v>
      </c>
      <c r="J16" s="5"/>
    </row>
    <row r="17" spans="1:8" x14ac:dyDescent="0.25">
      <c r="A17" t="s">
        <v>210</v>
      </c>
      <c r="B17" s="46">
        <f>B9*J14</f>
        <v>0</v>
      </c>
      <c r="C17" t="s">
        <v>1</v>
      </c>
      <c r="D17" s="2">
        <v>36</v>
      </c>
    </row>
    <row r="18" spans="1:8" x14ac:dyDescent="0.25">
      <c r="A18" s="51" t="s">
        <v>209</v>
      </c>
      <c r="B18" s="50"/>
    </row>
    <row r="19" spans="1:8" x14ac:dyDescent="0.25">
      <c r="A19" t="s">
        <v>208</v>
      </c>
      <c r="B19" s="49">
        <f>B5*J4-B20*H8-B22*H13</f>
        <v>1.9700000000000002</v>
      </c>
      <c r="C19" t="s">
        <v>1</v>
      </c>
      <c r="D19" s="2">
        <v>42</v>
      </c>
      <c r="H19" s="5" t="s">
        <v>207</v>
      </c>
    </row>
    <row r="20" spans="1:8" x14ac:dyDescent="0.25">
      <c r="A20" t="s">
        <v>206</v>
      </c>
      <c r="B20" s="48">
        <f>B6*J7</f>
        <v>0</v>
      </c>
      <c r="C20" t="s">
        <v>1</v>
      </c>
      <c r="D20" s="2">
        <v>42</v>
      </c>
      <c r="F20" t="s">
        <v>205</v>
      </c>
      <c r="G20" s="7">
        <f>1+(B5*D5+B6*D6+B7*D7+B8*D8+B9*D9+B10*D10)/(1000*$B$2)</f>
        <v>1.0489999999999999</v>
      </c>
      <c r="H20" s="4">
        <f>(G20-$G$23)*131.25</f>
        <v>4.4625000000000039</v>
      </c>
    </row>
    <row r="21" spans="1:8" x14ac:dyDescent="0.25">
      <c r="A21" t="s">
        <v>204</v>
      </c>
      <c r="B21" s="48">
        <f>B7*J4</f>
        <v>0</v>
      </c>
      <c r="C21" t="s">
        <v>1</v>
      </c>
      <c r="D21" s="47">
        <v>42</v>
      </c>
      <c r="F21" t="s">
        <v>203</v>
      </c>
      <c r="G21" s="7">
        <f>1+(B13*D13+B14*D14+B15*D15+B16*D16+B17*D17)/(1000*B2)</f>
        <v>1.0504720000000001</v>
      </c>
      <c r="H21" s="4">
        <f>(G21-$G$23)*131.25</f>
        <v>4.6557000000000226</v>
      </c>
    </row>
    <row r="22" spans="1:8" x14ac:dyDescent="0.25">
      <c r="A22" t="s">
        <v>202</v>
      </c>
      <c r="B22" s="46">
        <f>B8*J12</f>
        <v>3.9000000000000004</v>
      </c>
      <c r="C22" t="s">
        <v>1</v>
      </c>
      <c r="D22" s="2">
        <v>42</v>
      </c>
      <c r="F22" t="s">
        <v>201</v>
      </c>
      <c r="G22" s="7">
        <f>IF(B9=0,1+(B19*D19+B20*D20+B21*D21+B22*D22)/(1000*B2),"USE LME")</f>
        <v>1.0493079999999999</v>
      </c>
      <c r="H22" s="4">
        <f>(G22-$G$23)*131.25</f>
        <v>4.5029250000000003</v>
      </c>
    </row>
    <row r="23" spans="1:8" x14ac:dyDescent="0.25">
      <c r="F23" t="s">
        <v>200</v>
      </c>
      <c r="G23" s="1">
        <v>1.0149999999999999</v>
      </c>
    </row>
  </sheetData>
  <mergeCells count="6">
    <mergeCell ref="G14:G16"/>
    <mergeCell ref="H2:I2"/>
    <mergeCell ref="G12:G13"/>
    <mergeCell ref="G5:G6"/>
    <mergeCell ref="G7:G8"/>
    <mergeCell ref="G10:G11"/>
  </mergeCells>
  <dataValidations count="1">
    <dataValidation type="list" allowBlank="1" showInputMessage="1" showErrorMessage="1" sqref="B3" xr:uid="{DDCBB836-E4DA-4F4F-BC4B-F276FF1256B8}">
      <formula1>"65%,70%,75%,80%"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AC39D-4CEB-4F96-87DC-A7F34E023472}">
  <sheetPr codeName="Sheet1"/>
  <dimension ref="A1:AJ37"/>
  <sheetViews>
    <sheetView topLeftCell="T1" workbookViewId="0">
      <selection activeCell="AH2" sqref="AH2"/>
    </sheetView>
  </sheetViews>
  <sheetFormatPr defaultRowHeight="15" x14ac:dyDescent="0.25"/>
  <cols>
    <col min="1" max="1" width="11.140625" customWidth="1"/>
  </cols>
  <sheetData>
    <row r="1" spans="1:36" x14ac:dyDescent="0.25">
      <c r="A1" s="36" t="s">
        <v>160</v>
      </c>
      <c r="B1" s="36" t="s">
        <v>161</v>
      </c>
      <c r="C1" s="36" t="s">
        <v>162</v>
      </c>
      <c r="D1" s="36" t="s">
        <v>163</v>
      </c>
      <c r="E1" s="36" t="s">
        <v>164</v>
      </c>
      <c r="F1" s="36" t="s">
        <v>165</v>
      </c>
      <c r="G1" s="36" t="s">
        <v>166</v>
      </c>
      <c r="H1" s="36" t="s">
        <v>167</v>
      </c>
      <c r="I1" s="36" t="s">
        <v>168</v>
      </c>
      <c r="J1" s="36" t="s">
        <v>169</v>
      </c>
      <c r="K1" s="36" t="s">
        <v>170</v>
      </c>
      <c r="L1" s="36" t="s">
        <v>171</v>
      </c>
      <c r="M1" s="36" t="s">
        <v>172</v>
      </c>
      <c r="N1" s="36" t="s">
        <v>173</v>
      </c>
      <c r="O1" s="36" t="s">
        <v>174</v>
      </c>
      <c r="P1" s="36" t="s">
        <v>175</v>
      </c>
      <c r="Q1" s="36" t="s">
        <v>176</v>
      </c>
      <c r="R1" s="36" t="s">
        <v>177</v>
      </c>
      <c r="S1" s="36" t="s">
        <v>178</v>
      </c>
      <c r="T1" s="36" t="s">
        <v>179</v>
      </c>
      <c r="U1" s="36" t="s">
        <v>180</v>
      </c>
      <c r="V1" s="36" t="s">
        <v>181</v>
      </c>
      <c r="W1" s="36" t="s">
        <v>182</v>
      </c>
      <c r="X1" s="36" t="s">
        <v>183</v>
      </c>
      <c r="Y1" s="36" t="s">
        <v>184</v>
      </c>
      <c r="Z1" s="36" t="s">
        <v>185</v>
      </c>
      <c r="AA1" s="36" t="s">
        <v>186</v>
      </c>
      <c r="AB1" s="36" t="s">
        <v>187</v>
      </c>
      <c r="AC1" s="36" t="s">
        <v>188</v>
      </c>
      <c r="AD1" s="36" t="s">
        <v>189</v>
      </c>
      <c r="AE1" s="36" t="s">
        <v>190</v>
      </c>
      <c r="AG1" t="s">
        <v>192</v>
      </c>
      <c r="AH1" t="s">
        <v>193</v>
      </c>
      <c r="AI1" t="s">
        <v>194</v>
      </c>
      <c r="AJ1" t="s">
        <v>192</v>
      </c>
    </row>
    <row r="2" spans="1:36" x14ac:dyDescent="0.25">
      <c r="A2" s="27">
        <v>30</v>
      </c>
      <c r="B2" s="28">
        <v>1.82</v>
      </c>
      <c r="C2" s="28">
        <v>1.92</v>
      </c>
      <c r="D2" s="28">
        <v>2.0299999999999998</v>
      </c>
      <c r="E2" s="28">
        <v>2.14</v>
      </c>
      <c r="F2" s="29">
        <v>2.23</v>
      </c>
      <c r="G2" s="29">
        <v>2.36</v>
      </c>
      <c r="H2" s="29">
        <v>2.48</v>
      </c>
      <c r="I2" s="29">
        <v>2.6</v>
      </c>
      <c r="J2" s="30">
        <v>2.7</v>
      </c>
      <c r="K2" s="30">
        <v>2.82</v>
      </c>
      <c r="L2" s="30">
        <v>2.93</v>
      </c>
      <c r="M2" s="30">
        <v>3.02</v>
      </c>
      <c r="N2" s="30">
        <v>3.13</v>
      </c>
      <c r="O2" s="30">
        <v>3.24</v>
      </c>
      <c r="P2" s="30">
        <v>3.35</v>
      </c>
      <c r="Q2" s="30">
        <v>3.46</v>
      </c>
      <c r="R2" s="30">
        <v>3.57</v>
      </c>
      <c r="S2" s="30">
        <v>3.67</v>
      </c>
      <c r="T2" s="30">
        <v>3.78</v>
      </c>
      <c r="U2" s="30">
        <v>3.89</v>
      </c>
      <c r="V2" s="30">
        <v>4</v>
      </c>
      <c r="W2" s="31">
        <v>4.1100000000000003</v>
      </c>
      <c r="X2" s="31">
        <v>4.22</v>
      </c>
      <c r="Y2" s="31">
        <v>4.33</v>
      </c>
      <c r="Z2" s="31">
        <v>4.4400000000000004</v>
      </c>
      <c r="AA2" s="31">
        <v>4.66</v>
      </c>
      <c r="AB2" s="31">
        <v>4.7699999999999996</v>
      </c>
      <c r="AC2" s="31">
        <v>4.87</v>
      </c>
      <c r="AD2" s="31">
        <v>4.9800000000000004</v>
      </c>
      <c r="AE2" s="32">
        <v>4.9800000000000004</v>
      </c>
      <c r="AG2">
        <f>'Extract Recipe Builder'!A43</f>
        <v>2.5</v>
      </c>
      <c r="AH2">
        <f>'Extract Recipe Builder'!A44</f>
        <v>40</v>
      </c>
      <c r="AI2">
        <v>1</v>
      </c>
      <c r="AJ2">
        <f>INDEX(Table5[],MATCH($AH$2,$A$2:$A$37,0),AI2+1)</f>
        <v>1.47</v>
      </c>
    </row>
    <row r="3" spans="1:36" x14ac:dyDescent="0.25">
      <c r="A3" s="27">
        <v>31</v>
      </c>
      <c r="B3" s="28">
        <v>1.78</v>
      </c>
      <c r="C3" s="28">
        <v>1.88</v>
      </c>
      <c r="D3" s="28">
        <v>2</v>
      </c>
      <c r="E3" s="28">
        <v>2.1</v>
      </c>
      <c r="F3" s="29">
        <v>2.2000000000000002</v>
      </c>
      <c r="G3" s="29">
        <v>2.31</v>
      </c>
      <c r="H3" s="29">
        <v>2.42</v>
      </c>
      <c r="I3" s="29">
        <v>2.54</v>
      </c>
      <c r="J3" s="30">
        <v>2.65</v>
      </c>
      <c r="K3" s="30">
        <v>2.76</v>
      </c>
      <c r="L3" s="30">
        <v>2.86</v>
      </c>
      <c r="M3" s="30">
        <v>2.96</v>
      </c>
      <c r="N3" s="30">
        <v>3.07</v>
      </c>
      <c r="O3" s="30">
        <v>3.17</v>
      </c>
      <c r="P3" s="30">
        <v>3.28</v>
      </c>
      <c r="Q3" s="30">
        <v>3.39</v>
      </c>
      <c r="R3" s="30">
        <v>3.5</v>
      </c>
      <c r="S3" s="30">
        <v>3.6</v>
      </c>
      <c r="T3" s="30">
        <v>3.71</v>
      </c>
      <c r="U3" s="30">
        <v>3.82</v>
      </c>
      <c r="V3" s="30">
        <v>3.93</v>
      </c>
      <c r="W3" s="31">
        <v>4.03</v>
      </c>
      <c r="X3" s="31">
        <v>4.1399999999999997</v>
      </c>
      <c r="Y3" s="31">
        <v>4.25</v>
      </c>
      <c r="Z3" s="31">
        <v>4.3499999999999996</v>
      </c>
      <c r="AA3" s="31">
        <v>4.46</v>
      </c>
      <c r="AB3" s="31">
        <v>4.57</v>
      </c>
      <c r="AC3" s="31">
        <v>4.68</v>
      </c>
      <c r="AD3" s="31">
        <v>4.78</v>
      </c>
      <c r="AE3" s="32">
        <v>4.8899999999999997</v>
      </c>
      <c r="AI3">
        <v>2</v>
      </c>
      <c r="AJ3">
        <f>INDEX(Table5[],MATCH($AH$2,$A$2:$A$37,0),AI3+1)</f>
        <v>1.56</v>
      </c>
    </row>
    <row r="4" spans="1:36" x14ac:dyDescent="0.25">
      <c r="A4" s="27">
        <v>32</v>
      </c>
      <c r="B4" s="28">
        <v>1.75</v>
      </c>
      <c r="C4" s="28">
        <v>1.85</v>
      </c>
      <c r="D4" s="28">
        <v>1.95</v>
      </c>
      <c r="E4" s="28">
        <v>2.0499999999999998</v>
      </c>
      <c r="F4" s="28">
        <v>2.15</v>
      </c>
      <c r="G4" s="29">
        <v>2.27</v>
      </c>
      <c r="H4" s="29">
        <v>2.38</v>
      </c>
      <c r="I4" s="29">
        <v>2.48</v>
      </c>
      <c r="J4" s="29">
        <v>2.59</v>
      </c>
      <c r="K4" s="30">
        <v>2.7</v>
      </c>
      <c r="L4" s="30">
        <v>2.8</v>
      </c>
      <c r="M4" s="30">
        <v>2.9</v>
      </c>
      <c r="N4" s="30">
        <v>3</v>
      </c>
      <c r="O4" s="30">
        <v>3.11</v>
      </c>
      <c r="P4" s="30">
        <v>3.21</v>
      </c>
      <c r="Q4" s="30">
        <v>3.31</v>
      </c>
      <c r="R4" s="30">
        <v>3.42</v>
      </c>
      <c r="S4" s="30">
        <v>3.52</v>
      </c>
      <c r="T4" s="30">
        <v>3.63</v>
      </c>
      <c r="U4" s="30">
        <v>3.73</v>
      </c>
      <c r="V4" s="30">
        <v>3.84</v>
      </c>
      <c r="W4" s="30">
        <v>3.94</v>
      </c>
      <c r="X4" s="31">
        <v>4.04</v>
      </c>
      <c r="Y4" s="31">
        <v>4.1500000000000004</v>
      </c>
      <c r="Z4" s="31">
        <v>4.25</v>
      </c>
      <c r="AA4" s="31">
        <v>4.3600000000000003</v>
      </c>
      <c r="AB4" s="31">
        <v>4.46</v>
      </c>
      <c r="AC4" s="31">
        <v>4.57</v>
      </c>
      <c r="AD4" s="31">
        <v>4.67</v>
      </c>
      <c r="AE4" s="32">
        <v>4.7699999999999996</v>
      </c>
      <c r="AG4" t="s">
        <v>44</v>
      </c>
      <c r="AH4">
        <f>INDEX($AJ$2:$AJ$31,MATCH(AG2,$AJ$2:$AJ$31,1))</f>
        <v>2.4700000000000002</v>
      </c>
      <c r="AI4">
        <v>3</v>
      </c>
      <c r="AJ4">
        <f>INDEX(Table5[],MATCH($AH$2,$A$2:$A$37,0),AI4+1)</f>
        <v>1.65</v>
      </c>
    </row>
    <row r="5" spans="1:36" x14ac:dyDescent="0.25">
      <c r="A5" s="27">
        <v>33</v>
      </c>
      <c r="B5" s="28">
        <v>1.71</v>
      </c>
      <c r="C5" s="28">
        <v>1.81</v>
      </c>
      <c r="D5" s="28">
        <v>1.91</v>
      </c>
      <c r="E5" s="28">
        <v>2.0099999999999998</v>
      </c>
      <c r="F5" s="28">
        <v>2.1</v>
      </c>
      <c r="G5" s="29">
        <v>2.23</v>
      </c>
      <c r="H5" s="29">
        <v>2.33</v>
      </c>
      <c r="I5" s="29">
        <v>2.4300000000000002</v>
      </c>
      <c r="J5" s="29">
        <v>2.5299999999999998</v>
      </c>
      <c r="K5" s="30">
        <v>2.63</v>
      </c>
      <c r="L5" s="30">
        <v>2.74</v>
      </c>
      <c r="M5" s="30">
        <v>2.84</v>
      </c>
      <c r="N5" s="30">
        <v>2.96</v>
      </c>
      <c r="O5" s="30">
        <v>3.06</v>
      </c>
      <c r="P5" s="30">
        <v>3.15</v>
      </c>
      <c r="Q5" s="30">
        <v>3.25</v>
      </c>
      <c r="R5" s="30">
        <v>3.35</v>
      </c>
      <c r="S5" s="30">
        <v>3.46</v>
      </c>
      <c r="T5" s="30">
        <v>3.56</v>
      </c>
      <c r="U5" s="30">
        <v>3.66</v>
      </c>
      <c r="V5" s="30">
        <v>3.76</v>
      </c>
      <c r="W5" s="30">
        <v>3.87</v>
      </c>
      <c r="X5" s="30">
        <v>3.97</v>
      </c>
      <c r="Y5" s="31">
        <v>4.07</v>
      </c>
      <c r="Z5" s="31">
        <v>4.18</v>
      </c>
      <c r="AA5" s="31">
        <v>4.28</v>
      </c>
      <c r="AB5" s="31">
        <v>4.38</v>
      </c>
      <c r="AC5" s="31">
        <v>4.4800000000000004</v>
      </c>
      <c r="AD5" s="31">
        <v>4.59</v>
      </c>
      <c r="AE5" s="32">
        <v>4.6900000000000004</v>
      </c>
      <c r="AG5" t="s">
        <v>46</v>
      </c>
      <c r="AH5">
        <f>INDEX($AI$2:$AI$31,MATCH(AG2,$AJ$2:$AJ$31,1))</f>
        <v>12</v>
      </c>
      <c r="AI5">
        <v>4</v>
      </c>
      <c r="AJ5">
        <f>INDEX(Table5[],MATCH($AH$2,$A$2:$A$37,0),AI5+1)</f>
        <v>1.74</v>
      </c>
    </row>
    <row r="6" spans="1:36" x14ac:dyDescent="0.25">
      <c r="A6" s="27">
        <v>34</v>
      </c>
      <c r="B6" s="28">
        <v>1.68</v>
      </c>
      <c r="C6" s="28">
        <v>1.78</v>
      </c>
      <c r="D6" s="28">
        <v>1.86</v>
      </c>
      <c r="E6" s="28">
        <v>1.97</v>
      </c>
      <c r="F6" s="28">
        <v>2.06</v>
      </c>
      <c r="G6" s="28">
        <v>2.1800000000000002</v>
      </c>
      <c r="H6" s="29">
        <v>2.2799999999999998</v>
      </c>
      <c r="I6" s="29">
        <v>2.38</v>
      </c>
      <c r="J6" s="29">
        <v>2.48</v>
      </c>
      <c r="K6" s="29">
        <v>2.58</v>
      </c>
      <c r="L6" s="30">
        <v>2.69</v>
      </c>
      <c r="M6" s="30">
        <v>2.79</v>
      </c>
      <c r="N6" s="30">
        <v>2.9</v>
      </c>
      <c r="O6" s="30">
        <v>3</v>
      </c>
      <c r="P6" s="30">
        <v>3.09</v>
      </c>
      <c r="Q6" s="30">
        <v>3.19</v>
      </c>
      <c r="R6" s="30">
        <v>3.29</v>
      </c>
      <c r="S6" s="30">
        <v>3.39</v>
      </c>
      <c r="T6" s="30">
        <v>3.49</v>
      </c>
      <c r="U6" s="30">
        <v>3.59</v>
      </c>
      <c r="V6" s="30">
        <v>3.69</v>
      </c>
      <c r="W6" s="30">
        <v>3.79</v>
      </c>
      <c r="X6" s="30">
        <v>3.9</v>
      </c>
      <c r="Y6" s="30">
        <v>4</v>
      </c>
      <c r="Z6" s="31">
        <v>4.0999999999999996</v>
      </c>
      <c r="AA6" s="31">
        <v>4.2</v>
      </c>
      <c r="AB6" s="31">
        <v>4.3</v>
      </c>
      <c r="AC6" s="31">
        <v>4.4000000000000004</v>
      </c>
      <c r="AD6" s="31">
        <v>4.5</v>
      </c>
      <c r="AE6" s="32">
        <v>4.5999999999999996</v>
      </c>
      <c r="AG6" t="s">
        <v>45</v>
      </c>
      <c r="AH6">
        <f>INDEX($AJ$2:$AJ$31,MATCH(AG2,$AJ$2:$AJ$31,1)+1)</f>
        <v>2.56</v>
      </c>
      <c r="AI6">
        <v>5</v>
      </c>
      <c r="AJ6">
        <f>INDEX(Table5[],MATCH($AH$2,$A$2:$A$37,0),AI6+1)</f>
        <v>1.83</v>
      </c>
    </row>
    <row r="7" spans="1:36" x14ac:dyDescent="0.25">
      <c r="A7" s="27">
        <v>35</v>
      </c>
      <c r="B7" s="28">
        <v>1.63</v>
      </c>
      <c r="C7" s="28">
        <v>1.73</v>
      </c>
      <c r="D7" s="28">
        <v>1.83</v>
      </c>
      <c r="E7" s="28">
        <v>1.93</v>
      </c>
      <c r="F7" s="28">
        <v>2.02</v>
      </c>
      <c r="G7" s="28">
        <v>2.14</v>
      </c>
      <c r="H7" s="29">
        <v>2.2400000000000002</v>
      </c>
      <c r="I7" s="29">
        <v>2.34</v>
      </c>
      <c r="J7" s="29">
        <v>2.4300000000000002</v>
      </c>
      <c r="K7" s="29">
        <v>2.52</v>
      </c>
      <c r="L7" s="30">
        <v>2.63</v>
      </c>
      <c r="M7" s="30">
        <v>2.73</v>
      </c>
      <c r="N7" s="30">
        <v>2.83</v>
      </c>
      <c r="O7" s="30">
        <v>2.93</v>
      </c>
      <c r="P7" s="30">
        <v>3.02</v>
      </c>
      <c r="Q7" s="30">
        <v>3.12</v>
      </c>
      <c r="R7" s="30">
        <v>3.22</v>
      </c>
      <c r="S7" s="30">
        <v>3.32</v>
      </c>
      <c r="T7" s="30">
        <v>3.42</v>
      </c>
      <c r="U7" s="30">
        <v>3.52</v>
      </c>
      <c r="V7" s="30">
        <v>3.62</v>
      </c>
      <c r="W7" s="30">
        <v>3.72</v>
      </c>
      <c r="X7" s="30">
        <v>3.82</v>
      </c>
      <c r="Y7" s="30">
        <v>3.92</v>
      </c>
      <c r="Z7" s="31">
        <v>4.01</v>
      </c>
      <c r="AA7" s="31">
        <v>4.1100000000000003</v>
      </c>
      <c r="AB7" s="31">
        <v>4.21</v>
      </c>
      <c r="AC7" s="31">
        <v>4.3099999999999996</v>
      </c>
      <c r="AD7" s="31">
        <v>4.41</v>
      </c>
      <c r="AE7" s="32">
        <v>4.51</v>
      </c>
      <c r="AG7" t="s">
        <v>47</v>
      </c>
      <c r="AH7">
        <f>INDEX($AI$2:$AI$31,MATCH(AG2,$AJ$2:$AJ$31,1)+1)</f>
        <v>13</v>
      </c>
      <c r="AI7">
        <v>6</v>
      </c>
      <c r="AJ7">
        <f>INDEX(Table5[],MATCH($AH$2,$A$2:$A$37,0),AI7+1)</f>
        <v>1.92</v>
      </c>
    </row>
    <row r="8" spans="1:36" x14ac:dyDescent="0.25">
      <c r="A8" s="27">
        <v>36</v>
      </c>
      <c r="B8" s="28">
        <v>1.6</v>
      </c>
      <c r="C8" s="28">
        <v>1.69</v>
      </c>
      <c r="D8" s="28">
        <v>1.79</v>
      </c>
      <c r="E8" s="28">
        <v>1.88</v>
      </c>
      <c r="F8" s="28">
        <v>1.98</v>
      </c>
      <c r="G8" s="28">
        <v>2.09</v>
      </c>
      <c r="H8" s="28">
        <v>2.19</v>
      </c>
      <c r="I8" s="29">
        <v>2.29</v>
      </c>
      <c r="J8" s="29">
        <v>2.38</v>
      </c>
      <c r="K8" s="29">
        <v>2.4700000000000002</v>
      </c>
      <c r="L8" s="29">
        <v>2.57</v>
      </c>
      <c r="M8" s="30">
        <v>2.67</v>
      </c>
      <c r="N8" s="30">
        <v>2.77</v>
      </c>
      <c r="O8" s="30">
        <v>2.86</v>
      </c>
      <c r="P8" s="30">
        <v>2.96</v>
      </c>
      <c r="Q8" s="30">
        <v>3.05</v>
      </c>
      <c r="R8" s="30">
        <v>3.15</v>
      </c>
      <c r="S8" s="30">
        <v>3.24</v>
      </c>
      <c r="T8" s="30">
        <v>3.34</v>
      </c>
      <c r="U8" s="30">
        <v>3.43</v>
      </c>
      <c r="V8" s="30">
        <v>3.53</v>
      </c>
      <c r="W8" s="30">
        <v>3.63</v>
      </c>
      <c r="X8" s="30">
        <v>3.72</v>
      </c>
      <c r="Y8" s="30">
        <v>3.82</v>
      </c>
      <c r="Z8" s="30">
        <v>3.92</v>
      </c>
      <c r="AA8" s="31">
        <v>4.01</v>
      </c>
      <c r="AB8" s="31">
        <v>4.1100000000000003</v>
      </c>
      <c r="AC8" s="31">
        <v>4.21</v>
      </c>
      <c r="AD8" s="31">
        <v>4.3</v>
      </c>
      <c r="AE8" s="32">
        <v>4.4000000000000004</v>
      </c>
      <c r="AI8">
        <v>7</v>
      </c>
      <c r="AJ8">
        <f>INDEX(Table5[],MATCH($AH$2,$A$2:$A$37,0),AI8+1)</f>
        <v>2.0099999999999998</v>
      </c>
    </row>
    <row r="9" spans="1:36" x14ac:dyDescent="0.25">
      <c r="A9" s="27">
        <v>37</v>
      </c>
      <c r="B9" s="28">
        <v>1.55</v>
      </c>
      <c r="C9" s="28">
        <v>1.65</v>
      </c>
      <c r="D9" s="28">
        <v>1.74</v>
      </c>
      <c r="E9" s="28">
        <v>1.84</v>
      </c>
      <c r="F9" s="28">
        <v>1.94</v>
      </c>
      <c r="G9" s="28">
        <v>2.04</v>
      </c>
      <c r="H9" s="28">
        <v>2.14</v>
      </c>
      <c r="I9" s="29">
        <v>2.2400000000000002</v>
      </c>
      <c r="J9" s="29">
        <v>2.33</v>
      </c>
      <c r="K9" s="29">
        <v>2.42</v>
      </c>
      <c r="L9" s="29">
        <v>2.52</v>
      </c>
      <c r="M9" s="30">
        <v>2.62</v>
      </c>
      <c r="N9" s="30">
        <v>2.71</v>
      </c>
      <c r="O9" s="30">
        <v>2.8</v>
      </c>
      <c r="P9" s="30">
        <v>2.9</v>
      </c>
      <c r="Q9" s="30">
        <v>3</v>
      </c>
      <c r="R9" s="30">
        <v>3.09</v>
      </c>
      <c r="S9" s="30">
        <v>3.18</v>
      </c>
      <c r="T9" s="30">
        <v>3.27</v>
      </c>
      <c r="U9" s="30">
        <v>3.37</v>
      </c>
      <c r="V9" s="30">
        <v>3.46</v>
      </c>
      <c r="W9" s="30">
        <v>3.56</v>
      </c>
      <c r="X9" s="30">
        <v>3.65</v>
      </c>
      <c r="Y9" s="30">
        <v>3.75</v>
      </c>
      <c r="Z9" s="30">
        <v>3.84</v>
      </c>
      <c r="AA9" s="30">
        <v>3.94</v>
      </c>
      <c r="AB9" s="31">
        <v>4.03</v>
      </c>
      <c r="AC9" s="31">
        <v>4.13</v>
      </c>
      <c r="AD9" s="31">
        <v>4.22</v>
      </c>
      <c r="AE9" s="32">
        <v>4.32</v>
      </c>
      <c r="AG9" t="s">
        <v>194</v>
      </c>
      <c r="AH9" s="42">
        <f>AH5+(AG2-AH4)*(AH7-AH5)/(AH6-AH4)</f>
        <v>12.333333333333332</v>
      </c>
      <c r="AI9">
        <v>8</v>
      </c>
      <c r="AJ9">
        <f>INDEX(Table5[],MATCH($AH$2,$A$2:$A$37,0),AI9+1)</f>
        <v>2.1</v>
      </c>
    </row>
    <row r="10" spans="1:36" x14ac:dyDescent="0.25">
      <c r="A10" s="27">
        <v>38</v>
      </c>
      <c r="B10" s="28">
        <v>1.52</v>
      </c>
      <c r="C10" s="28">
        <v>1.61</v>
      </c>
      <c r="D10" s="28">
        <v>1.71</v>
      </c>
      <c r="E10" s="28">
        <v>1.8</v>
      </c>
      <c r="F10" s="28">
        <v>1.9</v>
      </c>
      <c r="G10" s="28">
        <v>2</v>
      </c>
      <c r="H10" s="28">
        <v>2.1</v>
      </c>
      <c r="I10" s="29">
        <v>2.2000000000000002</v>
      </c>
      <c r="J10" s="29">
        <v>2.29</v>
      </c>
      <c r="K10" s="29">
        <v>2.38</v>
      </c>
      <c r="L10" s="29">
        <v>2.48</v>
      </c>
      <c r="M10" s="29">
        <v>2.57</v>
      </c>
      <c r="N10" s="30">
        <v>2.66</v>
      </c>
      <c r="O10" s="30">
        <v>2.75</v>
      </c>
      <c r="P10" s="30">
        <v>2.85</v>
      </c>
      <c r="Q10" s="30">
        <v>2.94</v>
      </c>
      <c r="R10" s="30">
        <v>3.03</v>
      </c>
      <c r="S10" s="30">
        <v>3.12</v>
      </c>
      <c r="T10" s="30">
        <v>3.21</v>
      </c>
      <c r="U10" s="30">
        <v>3.3</v>
      </c>
      <c r="V10" s="30">
        <v>3.4</v>
      </c>
      <c r="W10" s="30">
        <v>3.49</v>
      </c>
      <c r="X10" s="30">
        <v>3.59</v>
      </c>
      <c r="Y10" s="30">
        <v>3.68</v>
      </c>
      <c r="Z10" s="30">
        <v>3.77</v>
      </c>
      <c r="AA10" s="30">
        <v>3.87</v>
      </c>
      <c r="AB10" s="30">
        <v>3.96</v>
      </c>
      <c r="AC10" s="31">
        <v>4.0599999999999996</v>
      </c>
      <c r="AD10" s="31">
        <v>4.1500000000000004</v>
      </c>
      <c r="AE10" s="32">
        <v>4.24</v>
      </c>
      <c r="AI10">
        <v>9</v>
      </c>
      <c r="AJ10">
        <f>INDEX(Table5[],MATCH($AH$2,$A$2:$A$37,0),AI10+1)</f>
        <v>2.2000000000000002</v>
      </c>
    </row>
    <row r="11" spans="1:36" x14ac:dyDescent="0.25">
      <c r="A11" s="27">
        <v>39</v>
      </c>
      <c r="B11" s="33">
        <v>1.49</v>
      </c>
      <c r="C11" s="28">
        <v>1.58</v>
      </c>
      <c r="D11" s="28">
        <v>1.67</v>
      </c>
      <c r="E11" s="28">
        <v>1.77</v>
      </c>
      <c r="F11" s="28">
        <v>1.86</v>
      </c>
      <c r="G11" s="28">
        <v>1.96</v>
      </c>
      <c r="H11" s="28">
        <v>2.06</v>
      </c>
      <c r="I11" s="28">
        <v>2.15</v>
      </c>
      <c r="J11" s="29">
        <v>2.25</v>
      </c>
      <c r="K11" s="29">
        <v>2.34</v>
      </c>
      <c r="L11" s="29">
        <v>2.4300000000000002</v>
      </c>
      <c r="M11" s="29">
        <v>2.52</v>
      </c>
      <c r="N11" s="30">
        <v>2.61</v>
      </c>
      <c r="O11" s="30">
        <v>2.7</v>
      </c>
      <c r="P11" s="30">
        <v>2.8</v>
      </c>
      <c r="Q11" s="30">
        <v>2.89</v>
      </c>
      <c r="R11" s="30">
        <v>2.98</v>
      </c>
      <c r="S11" s="30">
        <v>3.07</v>
      </c>
      <c r="T11" s="30">
        <v>3.16</v>
      </c>
      <c r="U11" s="30">
        <v>3.25</v>
      </c>
      <c r="V11" s="30">
        <v>3.34</v>
      </c>
      <c r="W11" s="30">
        <v>3.44</v>
      </c>
      <c r="X11" s="30">
        <v>3.53</v>
      </c>
      <c r="Y11" s="30">
        <v>3.62</v>
      </c>
      <c r="Z11" s="30">
        <v>3.71</v>
      </c>
      <c r="AA11" s="30">
        <v>3.81</v>
      </c>
      <c r="AB11" s="30">
        <v>3.9</v>
      </c>
      <c r="AC11" s="30">
        <v>3.99</v>
      </c>
      <c r="AD11" s="31">
        <v>4.08</v>
      </c>
      <c r="AE11" s="32">
        <v>4.18</v>
      </c>
      <c r="AI11">
        <v>10</v>
      </c>
      <c r="AJ11">
        <f>INDEX(Table5[],MATCH($AH$2,$A$2:$A$37,0),AI11+1)</f>
        <v>2.2999999999999998</v>
      </c>
    </row>
    <row r="12" spans="1:36" x14ac:dyDescent="0.25">
      <c r="A12" s="27">
        <v>40</v>
      </c>
      <c r="B12" s="33">
        <v>1.47</v>
      </c>
      <c r="C12" s="28">
        <v>1.56</v>
      </c>
      <c r="D12" s="28">
        <v>1.65</v>
      </c>
      <c r="E12" s="28">
        <v>1.74</v>
      </c>
      <c r="F12" s="28">
        <v>1.83</v>
      </c>
      <c r="G12" s="28">
        <v>1.92</v>
      </c>
      <c r="H12" s="28">
        <v>2.0099999999999998</v>
      </c>
      <c r="I12" s="28">
        <v>2.1</v>
      </c>
      <c r="J12" s="29">
        <v>2.2000000000000002</v>
      </c>
      <c r="K12" s="29">
        <v>2.2999999999999998</v>
      </c>
      <c r="L12" s="29">
        <v>2.39</v>
      </c>
      <c r="M12" s="29">
        <v>2.4700000000000002</v>
      </c>
      <c r="N12" s="29">
        <v>2.56</v>
      </c>
      <c r="O12" s="30">
        <v>2.65</v>
      </c>
      <c r="P12" s="30">
        <v>2.75</v>
      </c>
      <c r="Q12" s="30">
        <v>2.84</v>
      </c>
      <c r="R12" s="30">
        <v>2.93</v>
      </c>
      <c r="S12" s="30">
        <v>3.01</v>
      </c>
      <c r="T12" s="30">
        <v>3.1</v>
      </c>
      <c r="U12" s="30">
        <v>3.19</v>
      </c>
      <c r="V12" s="30">
        <v>3.28</v>
      </c>
      <c r="W12" s="30">
        <v>3.37</v>
      </c>
      <c r="X12" s="30">
        <v>3.46</v>
      </c>
      <c r="Y12" s="30">
        <v>3.55</v>
      </c>
      <c r="Z12" s="30">
        <v>3.64</v>
      </c>
      <c r="AA12" s="30">
        <v>3.73</v>
      </c>
      <c r="AB12" s="30">
        <v>3.82</v>
      </c>
      <c r="AC12" s="30">
        <v>3.91</v>
      </c>
      <c r="AD12" s="31">
        <v>4.01</v>
      </c>
      <c r="AE12" s="31">
        <v>4.0999999999999996</v>
      </c>
      <c r="AI12">
        <v>11</v>
      </c>
      <c r="AJ12">
        <f>INDEX(Table5[],MATCH($AH$2,$A$2:$A$37,0),AI12+1)</f>
        <v>2.39</v>
      </c>
    </row>
    <row r="13" spans="1:36" x14ac:dyDescent="0.25">
      <c r="A13" s="27">
        <v>41</v>
      </c>
      <c r="B13" s="33">
        <v>1.43</v>
      </c>
      <c r="C13" s="28">
        <v>1.52</v>
      </c>
      <c r="D13" s="28">
        <v>1.61</v>
      </c>
      <c r="E13" s="28">
        <v>1.7</v>
      </c>
      <c r="F13" s="28">
        <v>1.79</v>
      </c>
      <c r="G13" s="28">
        <v>1.88</v>
      </c>
      <c r="H13" s="28">
        <v>1.97</v>
      </c>
      <c r="I13" s="28">
        <v>2.06</v>
      </c>
      <c r="J13" s="28">
        <v>2.16</v>
      </c>
      <c r="K13" s="29">
        <v>2.25</v>
      </c>
      <c r="L13" s="29">
        <v>2.34</v>
      </c>
      <c r="M13" s="29">
        <v>2.4300000000000002</v>
      </c>
      <c r="N13" s="29">
        <v>2.52</v>
      </c>
      <c r="O13" s="29">
        <v>2.6</v>
      </c>
      <c r="P13" s="30">
        <v>2.7</v>
      </c>
      <c r="Q13" s="30">
        <v>2.79</v>
      </c>
      <c r="R13" s="30">
        <v>2.88</v>
      </c>
      <c r="S13" s="30">
        <v>2.96</v>
      </c>
      <c r="T13" s="30">
        <v>3.05</v>
      </c>
      <c r="U13" s="30">
        <v>3.14</v>
      </c>
      <c r="V13" s="30">
        <v>3.23</v>
      </c>
      <c r="W13" s="30">
        <v>3.32</v>
      </c>
      <c r="X13" s="30">
        <v>3.41</v>
      </c>
      <c r="Y13" s="30">
        <v>3.5</v>
      </c>
      <c r="Z13" s="30">
        <v>3.59</v>
      </c>
      <c r="AA13" s="30">
        <v>3.68</v>
      </c>
      <c r="AB13" s="30">
        <v>3.77</v>
      </c>
      <c r="AC13" s="30">
        <v>3.86</v>
      </c>
      <c r="AD13" s="30">
        <v>3.95</v>
      </c>
      <c r="AE13" s="31">
        <v>4.04</v>
      </c>
      <c r="AI13">
        <v>12</v>
      </c>
      <c r="AJ13">
        <f>INDEX(Table5[],MATCH($AH$2,$A$2:$A$37,0),AI13+1)</f>
        <v>2.4700000000000002</v>
      </c>
    </row>
    <row r="14" spans="1:36" x14ac:dyDescent="0.25">
      <c r="A14" s="27">
        <v>42</v>
      </c>
      <c r="B14" s="33">
        <v>1.39</v>
      </c>
      <c r="C14" s="33">
        <v>1.48</v>
      </c>
      <c r="D14" s="28">
        <v>1.57</v>
      </c>
      <c r="E14" s="28">
        <v>1.66</v>
      </c>
      <c r="F14" s="28">
        <v>1.75</v>
      </c>
      <c r="G14" s="28">
        <v>1.85</v>
      </c>
      <c r="H14" s="28">
        <v>1.94</v>
      </c>
      <c r="I14" s="28">
        <v>2.02</v>
      </c>
      <c r="J14" s="28">
        <v>2.12</v>
      </c>
      <c r="K14" s="29">
        <v>2.21</v>
      </c>
      <c r="L14" s="29">
        <v>2.2999999999999998</v>
      </c>
      <c r="M14" s="29">
        <v>2.39</v>
      </c>
      <c r="N14" s="29">
        <v>2.48</v>
      </c>
      <c r="O14" s="29">
        <v>2.56</v>
      </c>
      <c r="P14" s="30">
        <v>2.65</v>
      </c>
      <c r="Q14" s="30">
        <v>2.74</v>
      </c>
      <c r="R14" s="30">
        <v>2.83</v>
      </c>
      <c r="S14" s="30">
        <v>2.91</v>
      </c>
      <c r="T14" s="30">
        <v>3</v>
      </c>
      <c r="U14" s="30">
        <v>3.09</v>
      </c>
      <c r="V14" s="30">
        <v>3.18</v>
      </c>
      <c r="W14" s="30">
        <v>3.26</v>
      </c>
      <c r="X14" s="30">
        <v>3.35</v>
      </c>
      <c r="Y14" s="30">
        <v>3.44</v>
      </c>
      <c r="Z14" s="30">
        <v>3.53</v>
      </c>
      <c r="AA14" s="30">
        <v>3.62</v>
      </c>
      <c r="AB14" s="30">
        <v>3.7</v>
      </c>
      <c r="AC14" s="30">
        <v>3.79</v>
      </c>
      <c r="AD14" s="30">
        <v>3.88</v>
      </c>
      <c r="AE14" s="34">
        <v>3.97</v>
      </c>
      <c r="AI14">
        <v>13</v>
      </c>
      <c r="AJ14">
        <f>INDEX(Table5[],MATCH($AH$2,$A$2:$A$37,0),AI14+1)</f>
        <v>2.56</v>
      </c>
    </row>
    <row r="15" spans="1:36" x14ac:dyDescent="0.25">
      <c r="A15" s="27">
        <v>43</v>
      </c>
      <c r="B15" s="33">
        <v>1.37</v>
      </c>
      <c r="C15" s="33">
        <v>1.46</v>
      </c>
      <c r="D15" s="28">
        <v>1.54</v>
      </c>
      <c r="E15" s="28">
        <v>1.63</v>
      </c>
      <c r="F15" s="28">
        <v>1.72</v>
      </c>
      <c r="G15" s="28">
        <v>1.81</v>
      </c>
      <c r="H15" s="28">
        <v>1.9</v>
      </c>
      <c r="I15" s="28">
        <v>1.99</v>
      </c>
      <c r="J15" s="28">
        <v>2.08</v>
      </c>
      <c r="K15" s="28">
        <v>2.17</v>
      </c>
      <c r="L15" s="29">
        <v>2.2599999999999998</v>
      </c>
      <c r="M15" s="29">
        <v>2.34</v>
      </c>
      <c r="N15" s="29">
        <v>2.4300000000000002</v>
      </c>
      <c r="O15" s="29">
        <v>2.52</v>
      </c>
      <c r="P15" s="30">
        <v>2.61</v>
      </c>
      <c r="Q15" s="30">
        <v>2.69</v>
      </c>
      <c r="R15" s="30">
        <v>2.78</v>
      </c>
      <c r="S15" s="30">
        <v>2.86</v>
      </c>
      <c r="T15" s="30">
        <v>2.95</v>
      </c>
      <c r="U15" s="30">
        <v>3.04</v>
      </c>
      <c r="V15" s="30">
        <v>3.13</v>
      </c>
      <c r="W15" s="30">
        <v>3.21</v>
      </c>
      <c r="X15" s="30">
        <v>3.3</v>
      </c>
      <c r="Y15" s="30">
        <v>3.39</v>
      </c>
      <c r="Z15" s="30">
        <v>3.47</v>
      </c>
      <c r="AA15" s="30">
        <v>3.56</v>
      </c>
      <c r="AB15" s="30">
        <v>3.65</v>
      </c>
      <c r="AC15" s="30">
        <v>3.74</v>
      </c>
      <c r="AD15" s="30">
        <v>3.82</v>
      </c>
      <c r="AE15" s="34">
        <v>3.91</v>
      </c>
      <c r="AI15">
        <v>14</v>
      </c>
      <c r="AJ15">
        <f>INDEX(Table5[],MATCH($AH$2,$A$2:$A$37,0),AI15+1)</f>
        <v>2.65</v>
      </c>
    </row>
    <row r="16" spans="1:36" x14ac:dyDescent="0.25">
      <c r="A16" s="27">
        <v>44</v>
      </c>
      <c r="B16" s="33">
        <v>1.35</v>
      </c>
      <c r="C16" s="33">
        <v>1.43</v>
      </c>
      <c r="D16" s="28">
        <v>1.52</v>
      </c>
      <c r="E16" s="28">
        <v>1.6</v>
      </c>
      <c r="F16" s="28">
        <v>1.69</v>
      </c>
      <c r="G16" s="28">
        <v>1.78</v>
      </c>
      <c r="H16" s="28">
        <v>1.87</v>
      </c>
      <c r="I16" s="28">
        <v>1.95</v>
      </c>
      <c r="J16" s="28">
        <v>2.04</v>
      </c>
      <c r="K16" s="28">
        <v>2.13</v>
      </c>
      <c r="L16" s="29">
        <v>2.2200000000000002</v>
      </c>
      <c r="M16" s="29">
        <v>2.2999999999999998</v>
      </c>
      <c r="N16" s="29">
        <v>2.39</v>
      </c>
      <c r="O16" s="29">
        <v>2.4700000000000002</v>
      </c>
      <c r="P16" s="29">
        <v>2.56</v>
      </c>
      <c r="Q16" s="30">
        <v>2.64</v>
      </c>
      <c r="R16" s="30">
        <v>2.73</v>
      </c>
      <c r="S16" s="30">
        <v>2.81</v>
      </c>
      <c r="T16" s="30">
        <v>2.9</v>
      </c>
      <c r="U16" s="30">
        <v>2.99</v>
      </c>
      <c r="V16" s="30">
        <v>3.07</v>
      </c>
      <c r="W16" s="30">
        <v>3.1</v>
      </c>
      <c r="X16" s="30">
        <v>3.24</v>
      </c>
      <c r="Y16" s="30">
        <v>3.33</v>
      </c>
      <c r="Z16" s="30">
        <v>3.41</v>
      </c>
      <c r="AA16" s="30">
        <v>3.5</v>
      </c>
      <c r="AB16" s="30">
        <v>3.58</v>
      </c>
      <c r="AC16" s="30">
        <v>3.67</v>
      </c>
      <c r="AD16" s="30">
        <v>3.76</v>
      </c>
      <c r="AE16" s="34">
        <v>3.84</v>
      </c>
      <c r="AI16">
        <v>15</v>
      </c>
      <c r="AJ16">
        <f>INDEX(Table5[],MATCH($AH$2,$A$2:$A$37,0),AI16+1)</f>
        <v>2.75</v>
      </c>
    </row>
    <row r="17" spans="1:36" x14ac:dyDescent="0.25">
      <c r="A17" s="27">
        <v>45</v>
      </c>
      <c r="B17" s="33">
        <v>1.32</v>
      </c>
      <c r="C17" s="33">
        <v>1.41</v>
      </c>
      <c r="D17" s="33">
        <v>1.49</v>
      </c>
      <c r="E17" s="28">
        <v>1.58</v>
      </c>
      <c r="F17" s="28">
        <v>1.66</v>
      </c>
      <c r="G17" s="28">
        <v>1.75</v>
      </c>
      <c r="H17" s="28">
        <v>1.84</v>
      </c>
      <c r="I17" s="28">
        <v>1.91</v>
      </c>
      <c r="J17" s="28">
        <v>2</v>
      </c>
      <c r="K17" s="28">
        <v>2.08</v>
      </c>
      <c r="L17" s="28">
        <v>2.17</v>
      </c>
      <c r="M17" s="29">
        <v>2.2599999999999998</v>
      </c>
      <c r="N17" s="29">
        <v>2.34</v>
      </c>
      <c r="O17" s="29">
        <v>2.42</v>
      </c>
      <c r="P17" s="29">
        <v>2.5099999999999998</v>
      </c>
      <c r="Q17" s="29">
        <v>2.6</v>
      </c>
      <c r="R17" s="30">
        <v>2.69</v>
      </c>
      <c r="S17" s="30">
        <v>2.77</v>
      </c>
      <c r="T17" s="30">
        <v>2.86</v>
      </c>
      <c r="U17" s="30">
        <v>2.94</v>
      </c>
      <c r="V17" s="30">
        <v>3.02</v>
      </c>
      <c r="W17" s="30">
        <v>3.11</v>
      </c>
      <c r="X17" s="30">
        <v>3.19</v>
      </c>
      <c r="Y17" s="30">
        <v>3.28</v>
      </c>
      <c r="Z17" s="30">
        <v>3.36</v>
      </c>
      <c r="AA17" s="30">
        <v>3.45</v>
      </c>
      <c r="AB17" s="30">
        <v>3.53</v>
      </c>
      <c r="AC17" s="30">
        <v>3.62</v>
      </c>
      <c r="AD17" s="30">
        <v>3.7</v>
      </c>
      <c r="AE17" s="34">
        <v>3.79</v>
      </c>
      <c r="AI17">
        <v>16</v>
      </c>
      <c r="AJ17">
        <f>INDEX(Table5[],MATCH($AH$2,$A$2:$A$37,0),AI17+1)</f>
        <v>2.84</v>
      </c>
    </row>
    <row r="18" spans="1:36" x14ac:dyDescent="0.25">
      <c r="A18" s="27">
        <v>46</v>
      </c>
      <c r="B18" s="33">
        <v>1.28</v>
      </c>
      <c r="C18" s="33">
        <v>1.37</v>
      </c>
      <c r="D18" s="33">
        <v>1.45</v>
      </c>
      <c r="E18" s="28">
        <v>1.54</v>
      </c>
      <c r="F18" s="28">
        <v>1.62</v>
      </c>
      <c r="G18" s="28">
        <v>1.71</v>
      </c>
      <c r="H18" s="28">
        <v>1.8</v>
      </c>
      <c r="I18" s="28">
        <v>1.88</v>
      </c>
      <c r="J18" s="28">
        <v>1.96</v>
      </c>
      <c r="K18" s="28">
        <v>2.04</v>
      </c>
      <c r="L18" s="28">
        <v>2.13</v>
      </c>
      <c r="M18" s="29">
        <v>2.2200000000000002</v>
      </c>
      <c r="N18" s="29">
        <v>2.2999999999999998</v>
      </c>
      <c r="O18" s="29">
        <v>2.38</v>
      </c>
      <c r="P18" s="29">
        <v>2.4700000000000002</v>
      </c>
      <c r="Q18" s="29">
        <v>2.5499999999999998</v>
      </c>
      <c r="R18" s="30">
        <v>2.64</v>
      </c>
      <c r="S18" s="30">
        <v>2.72</v>
      </c>
      <c r="T18" s="30">
        <v>2.81</v>
      </c>
      <c r="U18" s="30">
        <v>2.89</v>
      </c>
      <c r="V18" s="30">
        <v>2.98</v>
      </c>
      <c r="W18" s="30">
        <v>3.06</v>
      </c>
      <c r="X18" s="30">
        <v>3.15</v>
      </c>
      <c r="Y18" s="30">
        <v>3.23</v>
      </c>
      <c r="Z18" s="30">
        <v>3.31</v>
      </c>
      <c r="AA18" s="30">
        <v>3.4</v>
      </c>
      <c r="AB18" s="30">
        <v>3.48</v>
      </c>
      <c r="AC18" s="30">
        <v>3.57</v>
      </c>
      <c r="AD18" s="30">
        <v>3.65</v>
      </c>
      <c r="AE18" s="34">
        <v>3.74</v>
      </c>
      <c r="AI18">
        <v>17</v>
      </c>
      <c r="AJ18">
        <f>INDEX(Table5[],MATCH($AH$2,$A$2:$A$37,0),AI18+1)</f>
        <v>2.93</v>
      </c>
    </row>
    <row r="19" spans="1:36" x14ac:dyDescent="0.25">
      <c r="A19" s="27">
        <v>47</v>
      </c>
      <c r="B19" s="33">
        <v>1.26</v>
      </c>
      <c r="C19" s="33">
        <v>1.34</v>
      </c>
      <c r="D19" s="33">
        <v>1.42</v>
      </c>
      <c r="E19" s="33">
        <v>1.51</v>
      </c>
      <c r="F19" s="28">
        <v>1.59</v>
      </c>
      <c r="G19" s="28">
        <v>1.68</v>
      </c>
      <c r="H19" s="28">
        <v>1.76</v>
      </c>
      <c r="I19" s="28">
        <v>1.84</v>
      </c>
      <c r="J19" s="28">
        <v>1.92</v>
      </c>
      <c r="K19" s="28">
        <v>2</v>
      </c>
      <c r="L19" s="28">
        <v>2.09</v>
      </c>
      <c r="M19" s="28">
        <v>2.1800000000000002</v>
      </c>
      <c r="N19" s="29">
        <v>2.2599999999999998</v>
      </c>
      <c r="O19" s="29">
        <v>2.34</v>
      </c>
      <c r="P19" s="29">
        <v>2.42</v>
      </c>
      <c r="Q19" s="29">
        <v>2.5</v>
      </c>
      <c r="R19" s="29">
        <v>2.59</v>
      </c>
      <c r="S19" s="30">
        <v>2.67</v>
      </c>
      <c r="T19" s="30">
        <v>2.76</v>
      </c>
      <c r="U19" s="30">
        <v>2.84</v>
      </c>
      <c r="V19" s="30">
        <v>2.93</v>
      </c>
      <c r="W19" s="30">
        <v>3.02</v>
      </c>
      <c r="X19" s="30">
        <v>3.09</v>
      </c>
      <c r="Y19" s="30">
        <v>3.18</v>
      </c>
      <c r="Z19" s="30">
        <v>3.26</v>
      </c>
      <c r="AA19" s="30">
        <v>3.35</v>
      </c>
      <c r="AB19" s="30">
        <v>3.43</v>
      </c>
      <c r="AC19" s="30">
        <v>3.51</v>
      </c>
      <c r="AD19" s="30">
        <v>3.6</v>
      </c>
      <c r="AE19" s="34">
        <v>3.68</v>
      </c>
      <c r="AI19">
        <v>18</v>
      </c>
      <c r="AJ19">
        <f>INDEX(Table5[],MATCH($AH$2,$A$2:$A$37,0),AI19+1)</f>
        <v>3.01</v>
      </c>
    </row>
    <row r="20" spans="1:36" x14ac:dyDescent="0.25">
      <c r="A20" s="27">
        <v>48</v>
      </c>
      <c r="B20" s="33">
        <v>1.23</v>
      </c>
      <c r="C20" s="33">
        <v>1.31</v>
      </c>
      <c r="D20" s="33">
        <v>1.39</v>
      </c>
      <c r="E20" s="33">
        <v>1.48</v>
      </c>
      <c r="F20" s="28">
        <v>1.56</v>
      </c>
      <c r="G20" s="28">
        <v>1.65</v>
      </c>
      <c r="H20" s="28">
        <v>1.73</v>
      </c>
      <c r="I20" s="28">
        <v>1.81</v>
      </c>
      <c r="J20" s="28">
        <v>1.89</v>
      </c>
      <c r="K20" s="28">
        <v>1.96</v>
      </c>
      <c r="L20" s="28">
        <v>2.0499999999999998</v>
      </c>
      <c r="M20" s="28">
        <v>2.14</v>
      </c>
      <c r="N20" s="29">
        <v>2.2200000000000002</v>
      </c>
      <c r="O20" s="29">
        <v>2.2999999999999998</v>
      </c>
      <c r="P20" s="29">
        <v>2.38</v>
      </c>
      <c r="Q20" s="29">
        <v>2.46</v>
      </c>
      <c r="R20" s="29">
        <v>2.54</v>
      </c>
      <c r="S20" s="30">
        <v>2.62</v>
      </c>
      <c r="T20" s="30">
        <v>2.71</v>
      </c>
      <c r="U20" s="30">
        <v>2.79</v>
      </c>
      <c r="V20" s="30">
        <v>2.88</v>
      </c>
      <c r="W20" s="30">
        <v>2.96</v>
      </c>
      <c r="X20" s="30">
        <v>3.04</v>
      </c>
      <c r="Y20" s="30">
        <v>3.13</v>
      </c>
      <c r="Z20" s="30">
        <v>3.21</v>
      </c>
      <c r="AA20" s="30">
        <v>3.3</v>
      </c>
      <c r="AB20" s="30">
        <v>3.38</v>
      </c>
      <c r="AC20" s="30">
        <v>3.46</v>
      </c>
      <c r="AD20" s="30">
        <v>3.54</v>
      </c>
      <c r="AE20" s="34">
        <v>3.63</v>
      </c>
      <c r="AI20">
        <v>19</v>
      </c>
      <c r="AJ20">
        <f>INDEX(Table5[],MATCH($AH$2,$A$2:$A$37,0),AI20+1)</f>
        <v>3.1</v>
      </c>
    </row>
    <row r="21" spans="1:36" x14ac:dyDescent="0.25">
      <c r="A21" s="27">
        <v>49</v>
      </c>
      <c r="B21" s="33">
        <v>1.21</v>
      </c>
      <c r="C21" s="33">
        <v>1.29</v>
      </c>
      <c r="D21" s="33">
        <v>1.37</v>
      </c>
      <c r="E21" s="33">
        <v>1.45</v>
      </c>
      <c r="F21" s="28">
        <v>1.53</v>
      </c>
      <c r="G21" s="28">
        <v>1.62</v>
      </c>
      <c r="H21" s="28">
        <v>1.7</v>
      </c>
      <c r="I21" s="28">
        <v>1.79</v>
      </c>
      <c r="J21" s="28">
        <v>1.86</v>
      </c>
      <c r="K21" s="28">
        <v>1.93</v>
      </c>
      <c r="L21" s="28">
        <v>2.0099999999999998</v>
      </c>
      <c r="M21" s="28">
        <v>2.1</v>
      </c>
      <c r="N21" s="29">
        <v>2.1800000000000002</v>
      </c>
      <c r="O21" s="29">
        <v>2.25</v>
      </c>
      <c r="P21" s="29">
        <v>2.34</v>
      </c>
      <c r="Q21" s="29">
        <v>2.42</v>
      </c>
      <c r="R21" s="29">
        <v>2.5</v>
      </c>
      <c r="S21" s="29">
        <v>2.58</v>
      </c>
      <c r="T21" s="30">
        <v>2.67</v>
      </c>
      <c r="U21" s="30">
        <v>2.75</v>
      </c>
      <c r="V21" s="30">
        <v>2.83</v>
      </c>
      <c r="W21" s="30">
        <v>2.91</v>
      </c>
      <c r="X21" s="30">
        <v>3</v>
      </c>
      <c r="Y21" s="30">
        <v>3.07</v>
      </c>
      <c r="Z21" s="30">
        <v>3.15</v>
      </c>
      <c r="AA21" s="30">
        <v>3.23</v>
      </c>
      <c r="AB21" s="30">
        <v>3.31</v>
      </c>
      <c r="AC21" s="30">
        <v>3.39</v>
      </c>
      <c r="AD21" s="30">
        <v>3.47</v>
      </c>
      <c r="AE21" s="34">
        <v>3.56</v>
      </c>
      <c r="AI21">
        <v>20</v>
      </c>
      <c r="AJ21">
        <f>INDEX(Table5[],MATCH($AH$2,$A$2:$A$37,0),AI21+1)</f>
        <v>3.19</v>
      </c>
    </row>
    <row r="22" spans="1:36" x14ac:dyDescent="0.25">
      <c r="A22" s="27">
        <v>50</v>
      </c>
      <c r="B22" s="33">
        <v>1.18</v>
      </c>
      <c r="C22" s="33">
        <v>1.26</v>
      </c>
      <c r="D22" s="33">
        <v>1.34</v>
      </c>
      <c r="E22" s="33">
        <v>1.42</v>
      </c>
      <c r="F22" s="28">
        <v>1.5</v>
      </c>
      <c r="G22" s="28">
        <v>1.59</v>
      </c>
      <c r="H22" s="28">
        <v>1.66</v>
      </c>
      <c r="I22" s="28">
        <v>1.74</v>
      </c>
      <c r="J22" s="28">
        <v>1.82</v>
      </c>
      <c r="K22" s="28">
        <v>1.9</v>
      </c>
      <c r="L22" s="28">
        <v>1.98</v>
      </c>
      <c r="M22" s="28">
        <v>2.06</v>
      </c>
      <c r="N22" s="28">
        <v>2.14</v>
      </c>
      <c r="O22" s="29">
        <v>2.21</v>
      </c>
      <c r="P22" s="29">
        <v>2.2999999999999998</v>
      </c>
      <c r="Q22" s="29">
        <v>2.38</v>
      </c>
      <c r="R22" s="29">
        <v>2.46</v>
      </c>
      <c r="S22" s="29">
        <v>2.54</v>
      </c>
      <c r="T22" s="30">
        <v>2.62</v>
      </c>
      <c r="U22" s="30">
        <v>2.7</v>
      </c>
      <c r="V22" s="30">
        <v>2.78</v>
      </c>
      <c r="W22" s="30">
        <v>2.86</v>
      </c>
      <c r="X22" s="30">
        <v>2.94</v>
      </c>
      <c r="Y22" s="30">
        <v>3.02</v>
      </c>
      <c r="Z22" s="30">
        <v>3.1</v>
      </c>
      <c r="AA22" s="30">
        <v>3.17</v>
      </c>
      <c r="AB22" s="30">
        <v>3.25</v>
      </c>
      <c r="AC22" s="30">
        <v>3.33</v>
      </c>
      <c r="AD22" s="30">
        <v>3.41</v>
      </c>
      <c r="AE22" s="34">
        <v>3.49</v>
      </c>
      <c r="AI22">
        <v>21</v>
      </c>
      <c r="AJ22">
        <f>INDEX(Table5[],MATCH($AH$2,$A$2:$A$37,0),AI22+1)</f>
        <v>3.28</v>
      </c>
    </row>
    <row r="23" spans="1:36" x14ac:dyDescent="0.25">
      <c r="A23" s="27">
        <v>51</v>
      </c>
      <c r="B23" s="33">
        <v>1.18</v>
      </c>
      <c r="C23" s="33">
        <v>1.26</v>
      </c>
      <c r="D23" s="33">
        <v>1.34</v>
      </c>
      <c r="E23" s="33">
        <v>1.42</v>
      </c>
      <c r="F23" s="33">
        <v>1.49</v>
      </c>
      <c r="G23" s="28">
        <v>1.57</v>
      </c>
      <c r="H23" s="28">
        <v>1.64</v>
      </c>
      <c r="I23" s="28">
        <v>1.71</v>
      </c>
      <c r="J23" s="28">
        <v>1.79</v>
      </c>
      <c r="K23" s="28">
        <v>1.87</v>
      </c>
      <c r="L23" s="28">
        <v>1.95</v>
      </c>
      <c r="M23" s="28">
        <v>2.02</v>
      </c>
      <c r="N23" s="28">
        <v>2.1</v>
      </c>
      <c r="O23" s="28">
        <v>2.1800000000000002</v>
      </c>
      <c r="P23" s="28">
        <v>2.2599999999999998</v>
      </c>
      <c r="Q23" s="29">
        <v>2.34</v>
      </c>
      <c r="R23" s="29">
        <v>2.42</v>
      </c>
      <c r="S23" s="29">
        <v>2.4900000000000002</v>
      </c>
      <c r="T23" s="29">
        <v>2.57</v>
      </c>
      <c r="U23" s="30">
        <v>2.65</v>
      </c>
      <c r="V23" s="30">
        <v>2.74</v>
      </c>
      <c r="W23" s="30">
        <v>2.82</v>
      </c>
      <c r="X23" s="30">
        <v>2.9</v>
      </c>
      <c r="Y23" s="30">
        <v>2.97</v>
      </c>
      <c r="Z23" s="30">
        <v>3.05</v>
      </c>
      <c r="AA23" s="30">
        <v>3.13</v>
      </c>
      <c r="AB23" s="30">
        <v>3.19</v>
      </c>
      <c r="AC23" s="30">
        <v>3.27</v>
      </c>
      <c r="AD23" s="30">
        <v>3.34</v>
      </c>
      <c r="AE23" s="34">
        <v>3.42</v>
      </c>
      <c r="AI23">
        <v>22</v>
      </c>
      <c r="AJ23">
        <f>INDEX(Table5[],MATCH($AH$2,$A$2:$A$37,0),AI23+1)</f>
        <v>3.37</v>
      </c>
    </row>
    <row r="24" spans="1:36" x14ac:dyDescent="0.25">
      <c r="A24" s="27">
        <v>52</v>
      </c>
      <c r="B24" s="33">
        <v>1.1599999999999999</v>
      </c>
      <c r="C24" s="33">
        <v>1.23</v>
      </c>
      <c r="D24" s="33">
        <v>1.31</v>
      </c>
      <c r="E24" s="33">
        <v>1.39</v>
      </c>
      <c r="F24" s="33">
        <v>1.46</v>
      </c>
      <c r="G24" s="28">
        <v>1.54</v>
      </c>
      <c r="H24" s="28">
        <v>1.61</v>
      </c>
      <c r="I24" s="28">
        <v>1.68</v>
      </c>
      <c r="J24" s="28">
        <v>1.76</v>
      </c>
      <c r="K24" s="28">
        <v>1.84</v>
      </c>
      <c r="L24" s="28">
        <v>1.92</v>
      </c>
      <c r="M24" s="28">
        <v>1.99</v>
      </c>
      <c r="N24" s="28">
        <v>2.06</v>
      </c>
      <c r="O24" s="28">
        <v>2.14</v>
      </c>
      <c r="P24" s="28">
        <v>2.2200000000000002</v>
      </c>
      <c r="Q24" s="29">
        <v>2.2999999999999998</v>
      </c>
      <c r="R24" s="29">
        <v>2.38</v>
      </c>
      <c r="S24" s="29">
        <v>2.4500000000000002</v>
      </c>
      <c r="T24" s="29">
        <v>2.5299999999999998</v>
      </c>
      <c r="U24" s="30">
        <v>2.61</v>
      </c>
      <c r="V24" s="30">
        <v>2.68</v>
      </c>
      <c r="W24" s="30">
        <v>2.76</v>
      </c>
      <c r="X24" s="30">
        <v>2.84</v>
      </c>
      <c r="Y24" s="30">
        <v>2.92</v>
      </c>
      <c r="Z24" s="30">
        <v>3</v>
      </c>
      <c r="AA24" s="30">
        <v>3.06</v>
      </c>
      <c r="AB24" s="30">
        <v>3.13</v>
      </c>
      <c r="AC24" s="30">
        <v>3.22</v>
      </c>
      <c r="AD24" s="30">
        <v>3.3</v>
      </c>
      <c r="AE24" s="34">
        <v>3.37</v>
      </c>
      <c r="AI24">
        <v>23</v>
      </c>
      <c r="AJ24">
        <f>INDEX(Table5[],MATCH($AH$2,$A$2:$A$37,0),AI24+1)</f>
        <v>3.46</v>
      </c>
    </row>
    <row r="25" spans="1:36" x14ac:dyDescent="0.25">
      <c r="A25" s="27">
        <v>53</v>
      </c>
      <c r="B25" s="33">
        <v>1.1399999999999999</v>
      </c>
      <c r="C25" s="33">
        <v>1.21</v>
      </c>
      <c r="D25" s="33">
        <v>1.29</v>
      </c>
      <c r="E25" s="33">
        <v>1.36</v>
      </c>
      <c r="F25" s="33">
        <v>1.44</v>
      </c>
      <c r="G25" s="28">
        <v>1.51</v>
      </c>
      <c r="H25" s="28">
        <v>1.59</v>
      </c>
      <c r="I25" s="28">
        <v>1.66</v>
      </c>
      <c r="J25" s="28">
        <v>1.74</v>
      </c>
      <c r="K25" s="28">
        <v>1.81</v>
      </c>
      <c r="L25" s="28">
        <v>1.89</v>
      </c>
      <c r="M25" s="28">
        <v>1.96</v>
      </c>
      <c r="N25" s="28">
        <v>2.0299999999999998</v>
      </c>
      <c r="O25" s="28">
        <v>2.1</v>
      </c>
      <c r="P25" s="28">
        <v>2.1800000000000002</v>
      </c>
      <c r="Q25" s="29">
        <v>2.2599999999999998</v>
      </c>
      <c r="R25" s="29">
        <v>2.34</v>
      </c>
      <c r="S25" s="29">
        <v>2.41</v>
      </c>
      <c r="T25" s="29">
        <v>2.4900000000000002</v>
      </c>
      <c r="U25" s="29">
        <v>2.57</v>
      </c>
      <c r="V25" s="30">
        <v>2.64</v>
      </c>
      <c r="W25" s="30">
        <v>2.71</v>
      </c>
      <c r="X25" s="30">
        <v>2.79</v>
      </c>
      <c r="Y25" s="30">
        <v>2.86</v>
      </c>
      <c r="Z25" s="30">
        <v>2.94</v>
      </c>
      <c r="AA25" s="30">
        <v>3.01</v>
      </c>
      <c r="AB25" s="30">
        <v>3.09</v>
      </c>
      <c r="AC25" s="30">
        <v>3.16</v>
      </c>
      <c r="AD25" s="30">
        <v>3.24</v>
      </c>
      <c r="AE25" s="34">
        <v>3.31</v>
      </c>
      <c r="AI25">
        <v>24</v>
      </c>
      <c r="AJ25">
        <f>INDEX(Table5[],MATCH($AH$2,$A$2:$A$37,0),AI25+1)</f>
        <v>3.55</v>
      </c>
    </row>
    <row r="26" spans="1:36" x14ac:dyDescent="0.25">
      <c r="A26" s="27">
        <v>54</v>
      </c>
      <c r="B26" s="33">
        <v>1.1200000000000001</v>
      </c>
      <c r="C26" s="33">
        <v>1.19</v>
      </c>
      <c r="D26" s="33">
        <v>1.27</v>
      </c>
      <c r="E26" s="33">
        <v>1.34</v>
      </c>
      <c r="F26" s="33">
        <v>1.41</v>
      </c>
      <c r="G26" s="33">
        <v>1.49</v>
      </c>
      <c r="H26" s="28">
        <v>1.56</v>
      </c>
      <c r="I26" s="28">
        <v>1.63</v>
      </c>
      <c r="J26" s="28">
        <v>1.71</v>
      </c>
      <c r="K26" s="28">
        <v>1.78</v>
      </c>
      <c r="L26" s="28">
        <v>1.86</v>
      </c>
      <c r="M26" s="28">
        <v>1.93</v>
      </c>
      <c r="N26" s="28">
        <v>2</v>
      </c>
      <c r="O26" s="28">
        <v>2.0699999999999998</v>
      </c>
      <c r="P26" s="28">
        <v>2.15</v>
      </c>
      <c r="Q26" s="29">
        <v>2.2200000000000002</v>
      </c>
      <c r="R26" s="29">
        <v>2.2999999999999998</v>
      </c>
      <c r="S26" s="29">
        <v>2.37</v>
      </c>
      <c r="T26" s="29">
        <v>2.4500000000000002</v>
      </c>
      <c r="U26" s="29">
        <v>2.52</v>
      </c>
      <c r="V26" s="29">
        <v>2.59</v>
      </c>
      <c r="W26" s="30">
        <v>2.66</v>
      </c>
      <c r="X26" s="30">
        <v>2.74</v>
      </c>
      <c r="Y26" s="30">
        <v>2.81</v>
      </c>
      <c r="Z26" s="30">
        <v>2.89</v>
      </c>
      <c r="AA26" s="30">
        <v>2.96</v>
      </c>
      <c r="AB26" s="30">
        <v>3.04</v>
      </c>
      <c r="AC26" s="30">
        <v>3.1</v>
      </c>
      <c r="AD26" s="30">
        <v>3.17</v>
      </c>
      <c r="AE26" s="34">
        <v>3.24</v>
      </c>
      <c r="AI26">
        <v>25</v>
      </c>
      <c r="AJ26">
        <f>INDEX(Table5[],MATCH($AH$2,$A$2:$A$37,0),AI26+1)</f>
        <v>3.64</v>
      </c>
    </row>
    <row r="27" spans="1:36" x14ac:dyDescent="0.25">
      <c r="A27" s="27">
        <v>55</v>
      </c>
      <c r="B27" s="33">
        <v>1.1000000000000001</v>
      </c>
      <c r="C27" s="33">
        <v>1.17</v>
      </c>
      <c r="D27" s="33">
        <v>1.24</v>
      </c>
      <c r="E27" s="33">
        <v>1.31</v>
      </c>
      <c r="F27" s="33">
        <v>1.39</v>
      </c>
      <c r="G27" s="33">
        <v>1.46</v>
      </c>
      <c r="H27" s="28">
        <v>1.53</v>
      </c>
      <c r="I27" s="28">
        <v>1.6</v>
      </c>
      <c r="J27" s="28">
        <v>1.68</v>
      </c>
      <c r="K27" s="28">
        <v>1.75</v>
      </c>
      <c r="L27" s="28">
        <v>1.82</v>
      </c>
      <c r="M27" s="28">
        <v>1.89</v>
      </c>
      <c r="N27" s="28">
        <v>1.97</v>
      </c>
      <c r="O27" s="28">
        <v>2.04</v>
      </c>
      <c r="P27" s="28">
        <v>2.12</v>
      </c>
      <c r="Q27" s="28">
        <v>2.1800000000000002</v>
      </c>
      <c r="R27" s="29">
        <v>2.2599999999999998</v>
      </c>
      <c r="S27" s="29">
        <v>2.33</v>
      </c>
      <c r="T27" s="29">
        <v>2.4</v>
      </c>
      <c r="U27" s="29">
        <v>2.4700000000000002</v>
      </c>
      <c r="V27" s="29">
        <v>2.54</v>
      </c>
      <c r="W27" s="30">
        <v>2.62</v>
      </c>
      <c r="X27" s="30">
        <v>2.69</v>
      </c>
      <c r="Y27" s="30">
        <v>2.76</v>
      </c>
      <c r="Z27" s="30">
        <v>2.83</v>
      </c>
      <c r="AA27" s="30">
        <v>2.89</v>
      </c>
      <c r="AB27" s="30">
        <v>2.97</v>
      </c>
      <c r="AC27" s="30">
        <v>3.04</v>
      </c>
      <c r="AD27" s="30">
        <v>3.11</v>
      </c>
      <c r="AE27" s="34">
        <v>3.18</v>
      </c>
      <c r="AI27">
        <v>26</v>
      </c>
      <c r="AJ27">
        <f>INDEX(Table5[],MATCH($AH$2,$A$2:$A$37,0),AI27+1)</f>
        <v>3.73</v>
      </c>
    </row>
    <row r="28" spans="1:36" x14ac:dyDescent="0.25">
      <c r="A28" s="27">
        <v>56</v>
      </c>
      <c r="B28" s="33">
        <v>1.07</v>
      </c>
      <c r="C28" s="33">
        <v>1.1499999999999999</v>
      </c>
      <c r="D28" s="33">
        <v>1.22</v>
      </c>
      <c r="E28" s="33">
        <v>1.29</v>
      </c>
      <c r="F28" s="33">
        <v>1.36</v>
      </c>
      <c r="G28" s="33">
        <v>1.43</v>
      </c>
      <c r="H28" s="28">
        <v>1.5</v>
      </c>
      <c r="I28" s="28">
        <v>1.57</v>
      </c>
      <c r="J28" s="28">
        <v>1.65</v>
      </c>
      <c r="K28" s="28">
        <v>1.72</v>
      </c>
      <c r="L28" s="28">
        <v>1.79</v>
      </c>
      <c r="M28" s="28">
        <v>1.86</v>
      </c>
      <c r="N28" s="28">
        <v>1.93</v>
      </c>
      <c r="O28" s="28">
        <v>2</v>
      </c>
      <c r="P28" s="28">
        <v>2.08</v>
      </c>
      <c r="Q28" s="28">
        <v>2.15</v>
      </c>
      <c r="R28" s="29">
        <v>2.2200000000000002</v>
      </c>
      <c r="S28" s="29">
        <v>2.29</v>
      </c>
      <c r="T28" s="29">
        <v>2.36</v>
      </c>
      <c r="U28" s="29">
        <v>2.4300000000000002</v>
      </c>
      <c r="V28" s="29">
        <v>2.5</v>
      </c>
      <c r="W28" s="29">
        <v>2.57</v>
      </c>
      <c r="X28" s="30">
        <v>2.64</v>
      </c>
      <c r="Y28" s="30">
        <v>2.71</v>
      </c>
      <c r="Z28" s="30">
        <v>2.78</v>
      </c>
      <c r="AA28" s="30">
        <v>2.85</v>
      </c>
      <c r="AB28" s="30">
        <v>2.92</v>
      </c>
      <c r="AC28" s="30">
        <v>2.99</v>
      </c>
      <c r="AD28" s="30">
        <v>3.06</v>
      </c>
      <c r="AE28" s="34">
        <v>3.13</v>
      </c>
      <c r="AI28">
        <v>27</v>
      </c>
      <c r="AJ28">
        <f>INDEX(Table5[],MATCH($AH$2,$A$2:$A$37,0),AI28+1)</f>
        <v>3.82</v>
      </c>
    </row>
    <row r="29" spans="1:36" x14ac:dyDescent="0.25">
      <c r="A29" s="27">
        <v>57</v>
      </c>
      <c r="B29" s="33">
        <v>1.05</v>
      </c>
      <c r="C29" s="33">
        <v>1.1200000000000001</v>
      </c>
      <c r="D29" s="33">
        <v>1.19</v>
      </c>
      <c r="E29" s="33">
        <v>1.26</v>
      </c>
      <c r="F29" s="33">
        <v>1.33</v>
      </c>
      <c r="G29" s="33">
        <v>1.4</v>
      </c>
      <c r="H29" s="33">
        <v>1.47</v>
      </c>
      <c r="I29" s="28">
        <v>1.54</v>
      </c>
      <c r="J29" s="28">
        <v>1.62</v>
      </c>
      <c r="K29" s="28">
        <v>1.7</v>
      </c>
      <c r="L29" s="28">
        <v>1.77</v>
      </c>
      <c r="M29" s="28">
        <v>1.83</v>
      </c>
      <c r="N29" s="28">
        <v>1.9</v>
      </c>
      <c r="O29" s="28">
        <v>1.97</v>
      </c>
      <c r="P29" s="28">
        <v>2.04</v>
      </c>
      <c r="Q29" s="28">
        <v>2.11</v>
      </c>
      <c r="R29" s="28">
        <v>2.1800000000000002</v>
      </c>
      <c r="S29" s="29">
        <v>2.25</v>
      </c>
      <c r="T29" s="29">
        <v>2.3199999999999998</v>
      </c>
      <c r="U29" s="29">
        <v>2.39</v>
      </c>
      <c r="V29" s="29">
        <v>2.46</v>
      </c>
      <c r="W29" s="29">
        <v>2.5299999999999998</v>
      </c>
      <c r="X29" s="29">
        <v>2.6</v>
      </c>
      <c r="Y29" s="30">
        <v>2.66</v>
      </c>
      <c r="Z29" s="30">
        <v>2.73</v>
      </c>
      <c r="AA29" s="30">
        <v>2.8</v>
      </c>
      <c r="AB29" s="30">
        <v>2.87</v>
      </c>
      <c r="AC29" s="30">
        <v>2.94</v>
      </c>
      <c r="AD29" s="30">
        <v>3</v>
      </c>
      <c r="AE29" s="34">
        <v>3.08</v>
      </c>
      <c r="AI29">
        <v>28</v>
      </c>
      <c r="AJ29">
        <f>INDEX(Table5[],MATCH($AH$2,$A$2:$A$37,0),AI29+1)</f>
        <v>3.91</v>
      </c>
    </row>
    <row r="30" spans="1:36" x14ac:dyDescent="0.25">
      <c r="A30" s="27">
        <v>58</v>
      </c>
      <c r="B30" s="33">
        <v>1.03</v>
      </c>
      <c r="C30" s="33">
        <v>1.1000000000000001</v>
      </c>
      <c r="D30" s="33">
        <v>1.17</v>
      </c>
      <c r="E30" s="33">
        <v>1.24</v>
      </c>
      <c r="F30" s="33">
        <v>1.3</v>
      </c>
      <c r="G30" s="33">
        <v>1.37</v>
      </c>
      <c r="H30" s="33">
        <v>1.44</v>
      </c>
      <c r="I30" s="28">
        <v>1.51</v>
      </c>
      <c r="J30" s="28">
        <v>1.59</v>
      </c>
      <c r="K30" s="28">
        <v>1.67</v>
      </c>
      <c r="L30" s="28">
        <v>1.74</v>
      </c>
      <c r="M30" s="28">
        <v>1.8</v>
      </c>
      <c r="N30" s="28">
        <v>1.87</v>
      </c>
      <c r="O30" s="28">
        <v>1.94</v>
      </c>
      <c r="P30" s="28">
        <v>2.0099999999999998</v>
      </c>
      <c r="Q30" s="28">
        <v>2.08</v>
      </c>
      <c r="R30" s="28">
        <v>2.15</v>
      </c>
      <c r="S30" s="29">
        <v>2.21</v>
      </c>
      <c r="T30" s="29">
        <v>2.2799999999999998</v>
      </c>
      <c r="U30" s="29">
        <v>2.35</v>
      </c>
      <c r="V30" s="29">
        <v>2.42</v>
      </c>
      <c r="W30" s="29">
        <v>2.48</v>
      </c>
      <c r="X30" s="29">
        <v>2.5499999999999998</v>
      </c>
      <c r="Y30" s="30">
        <v>2.62</v>
      </c>
      <c r="Z30" s="30">
        <v>2.69</v>
      </c>
      <c r="AA30" s="30">
        <v>2.75</v>
      </c>
      <c r="AB30" s="30">
        <v>2.82</v>
      </c>
      <c r="AC30" s="30">
        <v>2.88</v>
      </c>
      <c r="AD30" s="30">
        <v>2.95</v>
      </c>
      <c r="AE30" s="34">
        <v>3.02</v>
      </c>
      <c r="AI30">
        <v>29</v>
      </c>
      <c r="AJ30">
        <f>INDEX(Table5[],MATCH($AH$2,$A$2:$A$37,0),AI30+1)</f>
        <v>4.01</v>
      </c>
    </row>
    <row r="31" spans="1:36" x14ac:dyDescent="0.25">
      <c r="A31" s="27">
        <v>59</v>
      </c>
      <c r="B31" s="33">
        <v>1.02</v>
      </c>
      <c r="C31" s="33">
        <v>1.0900000000000001</v>
      </c>
      <c r="D31" s="33">
        <v>1.1599999999999999</v>
      </c>
      <c r="E31" s="33">
        <v>1.22</v>
      </c>
      <c r="F31" s="33">
        <v>1.29</v>
      </c>
      <c r="G31" s="33">
        <v>1.36</v>
      </c>
      <c r="H31" s="33">
        <v>1.43</v>
      </c>
      <c r="I31" s="33">
        <v>1.49</v>
      </c>
      <c r="J31" s="28">
        <v>1.56</v>
      </c>
      <c r="K31" s="28">
        <v>1.64</v>
      </c>
      <c r="L31" s="28">
        <v>1.71</v>
      </c>
      <c r="M31" s="28">
        <v>1.77</v>
      </c>
      <c r="N31" s="28">
        <v>1.84</v>
      </c>
      <c r="O31" s="28">
        <v>1.91</v>
      </c>
      <c r="P31" s="28">
        <v>1.98</v>
      </c>
      <c r="Q31" s="28">
        <v>2.04</v>
      </c>
      <c r="R31" s="28">
        <v>2.11</v>
      </c>
      <c r="S31" s="28">
        <v>2.17</v>
      </c>
      <c r="T31" s="29">
        <v>2.2400000000000002</v>
      </c>
      <c r="U31" s="29">
        <v>2.31</v>
      </c>
      <c r="V31" s="29">
        <v>2.38</v>
      </c>
      <c r="W31" s="29">
        <v>2.4300000000000002</v>
      </c>
      <c r="X31" s="29">
        <v>2.5</v>
      </c>
      <c r="Y31" s="29">
        <v>2.57</v>
      </c>
      <c r="Z31" s="30">
        <v>2.64</v>
      </c>
      <c r="AA31" s="30">
        <v>2.7</v>
      </c>
      <c r="AB31" s="30">
        <v>2.77</v>
      </c>
      <c r="AC31" s="30">
        <v>2.84</v>
      </c>
      <c r="AD31" s="30">
        <v>2.91</v>
      </c>
      <c r="AE31" s="34">
        <v>2.97</v>
      </c>
      <c r="AI31">
        <v>30</v>
      </c>
      <c r="AJ31">
        <f>INDEX(Table5[],MATCH($AH$2,$A$2:$A$37,0),AI31+1)</f>
        <v>4.0999999999999996</v>
      </c>
    </row>
    <row r="32" spans="1:36" x14ac:dyDescent="0.25">
      <c r="A32" s="27">
        <v>60</v>
      </c>
      <c r="B32" s="33">
        <v>1.01</v>
      </c>
      <c r="C32" s="33">
        <v>1.08</v>
      </c>
      <c r="D32" s="33">
        <v>1.1499999999999999</v>
      </c>
      <c r="E32" s="33">
        <v>1.21</v>
      </c>
      <c r="F32" s="33">
        <v>1.28</v>
      </c>
      <c r="G32" s="33">
        <v>1.34</v>
      </c>
      <c r="H32" s="33">
        <v>1.41</v>
      </c>
      <c r="I32" s="33">
        <v>1.47</v>
      </c>
      <c r="J32" s="28">
        <v>1.54</v>
      </c>
      <c r="K32" s="28">
        <v>1.62</v>
      </c>
      <c r="L32" s="28">
        <v>1.62</v>
      </c>
      <c r="M32" s="28">
        <v>1.75</v>
      </c>
      <c r="N32" s="28">
        <v>1.82</v>
      </c>
      <c r="O32" s="28">
        <v>1.88</v>
      </c>
      <c r="P32" s="28">
        <v>1.95</v>
      </c>
      <c r="Q32" s="28">
        <v>2.0099999999999998</v>
      </c>
      <c r="R32" s="28">
        <v>2.08</v>
      </c>
      <c r="S32" s="28">
        <v>2.14</v>
      </c>
      <c r="T32" s="29">
        <v>2.21</v>
      </c>
      <c r="U32" s="29">
        <v>2.27</v>
      </c>
      <c r="V32" s="29">
        <v>2.34</v>
      </c>
      <c r="W32" s="29">
        <v>2.4</v>
      </c>
      <c r="X32" s="29">
        <v>2.4700000000000002</v>
      </c>
      <c r="Y32" s="29">
        <v>2.5299999999999998</v>
      </c>
      <c r="Z32" s="29">
        <v>2.6</v>
      </c>
      <c r="AA32" s="30">
        <v>2.66</v>
      </c>
      <c r="AB32" s="30">
        <v>2.73</v>
      </c>
      <c r="AC32" s="30">
        <v>2.79</v>
      </c>
      <c r="AD32" s="30">
        <v>2.86</v>
      </c>
      <c r="AE32" s="34">
        <v>2.92</v>
      </c>
    </row>
    <row r="33" spans="1:31" x14ac:dyDescent="0.25">
      <c r="A33" s="27">
        <v>61</v>
      </c>
      <c r="B33" s="33">
        <v>0.99</v>
      </c>
      <c r="C33" s="33">
        <v>1.05</v>
      </c>
      <c r="D33" s="33">
        <v>1.1200000000000001</v>
      </c>
      <c r="E33" s="33">
        <v>1.18</v>
      </c>
      <c r="F33" s="33">
        <v>1.24</v>
      </c>
      <c r="G33" s="33">
        <v>1.31</v>
      </c>
      <c r="H33" s="33">
        <v>1.37</v>
      </c>
      <c r="I33" s="33">
        <v>1.44</v>
      </c>
      <c r="J33" s="28">
        <v>1.5</v>
      </c>
      <c r="K33" s="28">
        <v>1.57</v>
      </c>
      <c r="L33" s="28">
        <v>1.63</v>
      </c>
      <c r="M33" s="28">
        <v>1.69</v>
      </c>
      <c r="N33" s="28">
        <v>1.76</v>
      </c>
      <c r="O33" s="28">
        <v>1.82</v>
      </c>
      <c r="P33" s="28">
        <v>1.89</v>
      </c>
      <c r="Q33" s="28">
        <v>1.95</v>
      </c>
      <c r="R33" s="28">
        <v>2.02</v>
      </c>
      <c r="S33" s="28">
        <v>2.08</v>
      </c>
      <c r="T33" s="28">
        <v>2.14</v>
      </c>
      <c r="U33" s="29">
        <v>2.21</v>
      </c>
      <c r="V33" s="29">
        <v>2.27</v>
      </c>
      <c r="W33" s="29">
        <v>2.34</v>
      </c>
      <c r="X33" s="29">
        <v>2.4</v>
      </c>
      <c r="Y33" s="29">
        <v>2.4700000000000002</v>
      </c>
      <c r="Z33" s="29">
        <v>2.5299999999999998</v>
      </c>
      <c r="AA33" s="29">
        <v>2.59</v>
      </c>
      <c r="AB33" s="30">
        <v>2.66</v>
      </c>
      <c r="AC33" s="30">
        <v>2.72</v>
      </c>
      <c r="AD33" s="30">
        <v>2.79</v>
      </c>
      <c r="AE33" s="34">
        <v>2.85</v>
      </c>
    </row>
    <row r="34" spans="1:31" x14ac:dyDescent="0.25">
      <c r="A34" s="27">
        <v>62</v>
      </c>
      <c r="B34" s="33">
        <v>0.96</v>
      </c>
      <c r="C34" s="33">
        <v>1.02</v>
      </c>
      <c r="D34" s="33">
        <v>1.0900000000000001</v>
      </c>
      <c r="E34" s="33">
        <v>1.1499999999999999</v>
      </c>
      <c r="F34" s="33">
        <v>1.21</v>
      </c>
      <c r="G34" s="33">
        <v>1.27</v>
      </c>
      <c r="H34" s="33">
        <v>1.34</v>
      </c>
      <c r="I34" s="33">
        <v>1.4</v>
      </c>
      <c r="J34" s="33">
        <v>1.46</v>
      </c>
      <c r="K34" s="28">
        <v>1.52</v>
      </c>
      <c r="L34" s="28">
        <v>1.59</v>
      </c>
      <c r="M34" s="28">
        <v>1.65</v>
      </c>
      <c r="N34" s="28">
        <v>1.71</v>
      </c>
      <c r="O34" s="28">
        <v>1.78</v>
      </c>
      <c r="P34" s="28">
        <v>1.84</v>
      </c>
      <c r="Q34" s="28">
        <v>1.9</v>
      </c>
      <c r="R34" s="28">
        <v>1.97</v>
      </c>
      <c r="S34" s="28">
        <v>2.0299999999999998</v>
      </c>
      <c r="T34" s="28">
        <v>2.09</v>
      </c>
      <c r="U34" s="28">
        <v>2.15</v>
      </c>
      <c r="V34" s="29">
        <v>2.2200000000000002</v>
      </c>
      <c r="W34" s="29">
        <v>2.2799999999999998</v>
      </c>
      <c r="X34" s="29">
        <v>2.34</v>
      </c>
      <c r="Y34" s="29">
        <v>2.41</v>
      </c>
      <c r="Z34" s="29">
        <v>2.4700000000000002</v>
      </c>
      <c r="AA34" s="29">
        <v>2.5299999999999998</v>
      </c>
      <c r="AB34" s="29">
        <v>2.59</v>
      </c>
      <c r="AC34" s="30">
        <v>2.66</v>
      </c>
      <c r="AD34" s="30">
        <v>2.72</v>
      </c>
      <c r="AE34" s="34">
        <v>2.78</v>
      </c>
    </row>
    <row r="35" spans="1:31" x14ac:dyDescent="0.25">
      <c r="A35" s="27">
        <v>63</v>
      </c>
      <c r="B35" s="33">
        <v>0.93</v>
      </c>
      <c r="C35" s="33">
        <v>0.99</v>
      </c>
      <c r="D35" s="33">
        <v>1.06</v>
      </c>
      <c r="E35" s="33">
        <v>1.1200000000000001</v>
      </c>
      <c r="F35" s="33">
        <v>1.18</v>
      </c>
      <c r="G35" s="33">
        <v>1.24</v>
      </c>
      <c r="H35" s="33">
        <v>1.3</v>
      </c>
      <c r="I35" s="33">
        <v>1.36</v>
      </c>
      <c r="J35" s="33">
        <v>1.42</v>
      </c>
      <c r="K35" s="33">
        <v>1.49</v>
      </c>
      <c r="L35" s="28">
        <v>1.55</v>
      </c>
      <c r="M35" s="28">
        <v>1.61</v>
      </c>
      <c r="N35" s="28">
        <v>1.67</v>
      </c>
      <c r="O35" s="28">
        <v>1.73</v>
      </c>
      <c r="P35" s="28">
        <v>1.79</v>
      </c>
      <c r="Q35" s="28">
        <v>1.85</v>
      </c>
      <c r="R35" s="28">
        <v>1.92</v>
      </c>
      <c r="S35" s="28">
        <v>1.98</v>
      </c>
      <c r="T35" s="28">
        <v>2.04</v>
      </c>
      <c r="U35" s="28">
        <v>2.1</v>
      </c>
      <c r="V35" s="28">
        <v>2.16</v>
      </c>
      <c r="W35" s="29">
        <v>2.2200000000000002</v>
      </c>
      <c r="X35" s="29">
        <v>2.2799999999999998</v>
      </c>
      <c r="Y35" s="29">
        <v>2.35</v>
      </c>
      <c r="Z35" s="29">
        <v>2.41</v>
      </c>
      <c r="AA35" s="29">
        <v>2.4700000000000002</v>
      </c>
      <c r="AB35" s="29">
        <v>2.5299999999999998</v>
      </c>
      <c r="AC35" s="29">
        <v>2.59</v>
      </c>
      <c r="AD35" s="30">
        <v>2.65</v>
      </c>
      <c r="AE35" s="34">
        <v>2.71</v>
      </c>
    </row>
    <row r="36" spans="1:31" ht="15.75" thickBot="1" x14ac:dyDescent="0.3">
      <c r="A36" s="27">
        <v>64</v>
      </c>
      <c r="B36" s="33">
        <v>0.91</v>
      </c>
      <c r="C36" s="33">
        <v>0.97</v>
      </c>
      <c r="D36" s="33">
        <v>1.03</v>
      </c>
      <c r="E36" s="33">
        <v>1.0900000000000001</v>
      </c>
      <c r="F36" s="33">
        <v>1.1499999999999999</v>
      </c>
      <c r="G36" s="33">
        <v>1.21</v>
      </c>
      <c r="H36" s="33">
        <v>1.27</v>
      </c>
      <c r="I36" s="33">
        <v>1.33</v>
      </c>
      <c r="J36" s="33">
        <v>1.39</v>
      </c>
      <c r="K36" s="35">
        <v>1.45</v>
      </c>
      <c r="L36" s="28">
        <v>1.51</v>
      </c>
      <c r="M36" s="28">
        <v>1.57</v>
      </c>
      <c r="N36" s="28">
        <v>1.63</v>
      </c>
      <c r="O36" s="28">
        <v>1.69</v>
      </c>
      <c r="P36" s="28">
        <v>1.75</v>
      </c>
      <c r="Q36" s="28">
        <v>1.81</v>
      </c>
      <c r="R36" s="28">
        <v>1.87</v>
      </c>
      <c r="S36" s="28">
        <v>1.93</v>
      </c>
      <c r="T36" s="28">
        <v>1.99</v>
      </c>
      <c r="U36" s="28">
        <v>2.0499999999999998</v>
      </c>
      <c r="V36" s="28">
        <v>2.11</v>
      </c>
      <c r="W36" s="28">
        <v>2.17</v>
      </c>
      <c r="X36" s="29">
        <v>2.23</v>
      </c>
      <c r="Y36" s="29">
        <v>2.29</v>
      </c>
      <c r="Z36" s="29">
        <v>2.35</v>
      </c>
      <c r="AA36" s="29">
        <v>2.41</v>
      </c>
      <c r="AB36" s="29">
        <v>2.4700000000000002</v>
      </c>
      <c r="AC36" s="29">
        <v>2.52</v>
      </c>
      <c r="AD36" s="29">
        <v>2.58</v>
      </c>
      <c r="AE36" s="34">
        <v>2.64</v>
      </c>
    </row>
    <row r="37" spans="1:31" x14ac:dyDescent="0.25">
      <c r="A37" s="27">
        <v>65</v>
      </c>
      <c r="B37" s="37">
        <v>0.88</v>
      </c>
      <c r="C37" s="37">
        <v>0.94</v>
      </c>
      <c r="D37" s="37">
        <v>1</v>
      </c>
      <c r="E37" s="37">
        <v>1.06</v>
      </c>
      <c r="F37" s="37">
        <v>1.1100000000000001</v>
      </c>
      <c r="G37" s="37">
        <v>1.17</v>
      </c>
      <c r="H37" s="37">
        <v>1.23</v>
      </c>
      <c r="I37" s="37">
        <v>1.29</v>
      </c>
      <c r="J37" s="37">
        <v>1.35</v>
      </c>
      <c r="K37" s="37">
        <v>1.41</v>
      </c>
      <c r="L37" s="37">
        <v>1.46</v>
      </c>
      <c r="M37" s="38">
        <v>1.52</v>
      </c>
      <c r="N37" s="38">
        <v>1.58</v>
      </c>
      <c r="O37" s="38">
        <v>1.64</v>
      </c>
      <c r="P37" s="38">
        <v>1.7</v>
      </c>
      <c r="Q37" s="38">
        <v>1.76</v>
      </c>
      <c r="R37" s="38">
        <v>1.82</v>
      </c>
      <c r="S37" s="38">
        <v>1.87</v>
      </c>
      <c r="T37" s="38">
        <v>1.93</v>
      </c>
      <c r="U37" s="38">
        <v>1.99</v>
      </c>
      <c r="V37" s="38">
        <v>2.0499999999999998</v>
      </c>
      <c r="W37" s="38">
        <v>2.11</v>
      </c>
      <c r="X37" s="38">
        <v>2.17</v>
      </c>
      <c r="Y37" s="39">
        <v>2.23</v>
      </c>
      <c r="Z37" s="39">
        <v>2.2799999999999998</v>
      </c>
      <c r="AA37" s="39">
        <v>2.34</v>
      </c>
      <c r="AB37" s="39">
        <v>2.4</v>
      </c>
      <c r="AC37" s="39">
        <v>2.46</v>
      </c>
      <c r="AD37" s="39">
        <v>2.52</v>
      </c>
      <c r="AE37" s="40">
        <v>2.58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A5522-4CD2-4ABF-A3D2-1107ECA34BE3}">
  <sheetPr codeName="Sheet5"/>
  <dimension ref="A1:M32"/>
  <sheetViews>
    <sheetView workbookViewId="0">
      <selection activeCell="L6" sqref="L6"/>
    </sheetView>
  </sheetViews>
  <sheetFormatPr defaultRowHeight="15" x14ac:dyDescent="0.25"/>
  <cols>
    <col min="1" max="1" width="15.85546875" bestFit="1" customWidth="1"/>
    <col min="6" max="6" width="16.42578125" bestFit="1" customWidth="1"/>
    <col min="9" max="9" width="9.7109375" bestFit="1" customWidth="1"/>
  </cols>
  <sheetData>
    <row r="1" spans="1:13" x14ac:dyDescent="0.25">
      <c r="A1" t="s">
        <v>10</v>
      </c>
      <c r="B1" t="s">
        <v>3</v>
      </c>
      <c r="C1" t="s">
        <v>9</v>
      </c>
      <c r="F1" t="s">
        <v>10</v>
      </c>
      <c r="G1" t="s">
        <v>3</v>
      </c>
      <c r="H1" t="s">
        <v>9</v>
      </c>
      <c r="I1" t="s">
        <v>156</v>
      </c>
    </row>
    <row r="2" spans="1:13" x14ac:dyDescent="0.25">
      <c r="A2" t="s">
        <v>28</v>
      </c>
      <c r="B2">
        <v>0</v>
      </c>
      <c r="C2">
        <v>0</v>
      </c>
      <c r="F2" t="s">
        <v>28</v>
      </c>
      <c r="G2">
        <v>0</v>
      </c>
      <c r="H2">
        <v>0</v>
      </c>
      <c r="K2" t="s">
        <v>159</v>
      </c>
    </row>
    <row r="3" spans="1:13" x14ac:dyDescent="0.25">
      <c r="A3" t="s">
        <v>11</v>
      </c>
      <c r="B3">
        <v>35</v>
      </c>
      <c r="C3">
        <v>2</v>
      </c>
      <c r="F3" t="s">
        <v>72</v>
      </c>
      <c r="G3">
        <v>18</v>
      </c>
      <c r="H3">
        <v>25</v>
      </c>
      <c r="J3" s="17"/>
    </row>
    <row r="4" spans="1:13" x14ac:dyDescent="0.25">
      <c r="A4" t="s">
        <v>12</v>
      </c>
      <c r="B4">
        <v>37</v>
      </c>
      <c r="C4">
        <v>2.5</v>
      </c>
      <c r="F4" t="s">
        <v>155</v>
      </c>
      <c r="G4">
        <v>17</v>
      </c>
      <c r="H4">
        <v>24.5</v>
      </c>
      <c r="I4" t="s">
        <v>153</v>
      </c>
      <c r="K4" t="s">
        <v>10</v>
      </c>
      <c r="L4" t="s">
        <v>3</v>
      </c>
      <c r="M4" t="s">
        <v>9</v>
      </c>
    </row>
    <row r="5" spans="1:13" x14ac:dyDescent="0.25">
      <c r="A5" t="s">
        <v>13</v>
      </c>
      <c r="B5">
        <v>35</v>
      </c>
      <c r="C5">
        <v>3</v>
      </c>
      <c r="F5" t="s">
        <v>152</v>
      </c>
      <c r="G5">
        <v>16</v>
      </c>
      <c r="H5">
        <v>6</v>
      </c>
      <c r="I5" t="s">
        <v>153</v>
      </c>
      <c r="K5" t="s">
        <v>28</v>
      </c>
      <c r="L5">
        <v>0</v>
      </c>
      <c r="M5">
        <v>0</v>
      </c>
    </row>
    <row r="6" spans="1:13" x14ac:dyDescent="0.25">
      <c r="A6" t="s">
        <v>14</v>
      </c>
      <c r="B6">
        <v>35</v>
      </c>
      <c r="C6">
        <v>4</v>
      </c>
      <c r="F6" t="s">
        <v>82</v>
      </c>
      <c r="G6">
        <v>27</v>
      </c>
      <c r="H6">
        <v>550</v>
      </c>
      <c r="K6" t="s">
        <v>158</v>
      </c>
      <c r="L6">
        <v>41</v>
      </c>
      <c r="M6">
        <v>1</v>
      </c>
    </row>
    <row r="7" spans="1:13" x14ac:dyDescent="0.25">
      <c r="A7" t="s">
        <v>15</v>
      </c>
      <c r="B7">
        <v>35</v>
      </c>
      <c r="C7">
        <v>8</v>
      </c>
      <c r="F7" t="s">
        <v>79</v>
      </c>
      <c r="G7">
        <v>26</v>
      </c>
      <c r="H7">
        <v>500</v>
      </c>
    </row>
    <row r="8" spans="1:13" x14ac:dyDescent="0.25">
      <c r="A8" t="s">
        <v>16</v>
      </c>
      <c r="B8">
        <v>35</v>
      </c>
      <c r="C8">
        <v>10</v>
      </c>
      <c r="F8" t="s">
        <v>154</v>
      </c>
      <c r="G8">
        <v>17</v>
      </c>
      <c r="H8">
        <v>50</v>
      </c>
      <c r="I8" t="s">
        <v>153</v>
      </c>
    </row>
    <row r="9" spans="1:13" x14ac:dyDescent="0.25">
      <c r="A9" t="s">
        <v>17</v>
      </c>
      <c r="B9">
        <v>35</v>
      </c>
      <c r="C9">
        <v>30</v>
      </c>
      <c r="F9" t="s">
        <v>73</v>
      </c>
      <c r="G9">
        <v>8</v>
      </c>
      <c r="H9">
        <v>60</v>
      </c>
    </row>
    <row r="10" spans="1:13" x14ac:dyDescent="0.25">
      <c r="A10" t="s">
        <v>18</v>
      </c>
      <c r="B10">
        <v>42</v>
      </c>
      <c r="C10">
        <v>2</v>
      </c>
      <c r="F10" t="s">
        <v>77</v>
      </c>
      <c r="G10">
        <v>25</v>
      </c>
      <c r="H10">
        <v>450</v>
      </c>
    </row>
    <row r="11" spans="1:13" x14ac:dyDescent="0.25">
      <c r="A11" t="s">
        <v>19</v>
      </c>
      <c r="B11">
        <v>42</v>
      </c>
      <c r="C11">
        <v>2.5</v>
      </c>
      <c r="F11" t="s">
        <v>78</v>
      </c>
      <c r="G11">
        <v>26</v>
      </c>
      <c r="H11">
        <v>500</v>
      </c>
    </row>
    <row r="12" spans="1:13" x14ac:dyDescent="0.25">
      <c r="A12" t="s">
        <v>20</v>
      </c>
      <c r="B12">
        <v>42</v>
      </c>
      <c r="C12">
        <v>3</v>
      </c>
      <c r="F12" t="s">
        <v>60</v>
      </c>
      <c r="G12">
        <v>27</v>
      </c>
      <c r="H12">
        <v>2</v>
      </c>
    </row>
    <row r="13" spans="1:13" x14ac:dyDescent="0.25">
      <c r="A13" t="s">
        <v>21</v>
      </c>
      <c r="B13">
        <v>42</v>
      </c>
      <c r="C13">
        <v>4</v>
      </c>
      <c r="F13" t="s">
        <v>151</v>
      </c>
      <c r="G13">
        <v>16</v>
      </c>
      <c r="H13">
        <v>10</v>
      </c>
    </row>
    <row r="14" spans="1:13" x14ac:dyDescent="0.25">
      <c r="A14" t="s">
        <v>22</v>
      </c>
      <c r="B14">
        <v>42</v>
      </c>
      <c r="C14">
        <v>8</v>
      </c>
      <c r="F14" t="s">
        <v>68</v>
      </c>
      <c r="G14">
        <v>15</v>
      </c>
      <c r="H14">
        <v>120</v>
      </c>
    </row>
    <row r="15" spans="1:13" x14ac:dyDescent="0.25">
      <c r="A15" t="s">
        <v>23</v>
      </c>
      <c r="B15">
        <v>42</v>
      </c>
      <c r="C15">
        <v>10</v>
      </c>
      <c r="F15" t="s">
        <v>61</v>
      </c>
      <c r="G15">
        <v>17</v>
      </c>
      <c r="H15">
        <v>20</v>
      </c>
    </row>
    <row r="16" spans="1:13" x14ac:dyDescent="0.25">
      <c r="A16" t="s">
        <v>24</v>
      </c>
      <c r="B16">
        <v>42</v>
      </c>
      <c r="C16">
        <v>30</v>
      </c>
      <c r="F16" t="s">
        <v>65</v>
      </c>
      <c r="G16">
        <v>17</v>
      </c>
      <c r="H16">
        <v>40</v>
      </c>
    </row>
    <row r="17" spans="1:9" x14ac:dyDescent="0.25">
      <c r="A17" t="s">
        <v>29</v>
      </c>
      <c r="B17">
        <v>42</v>
      </c>
      <c r="C17">
        <v>2</v>
      </c>
      <c r="F17" t="s">
        <v>66</v>
      </c>
      <c r="G17">
        <v>18</v>
      </c>
      <c r="H17">
        <v>60</v>
      </c>
    </row>
    <row r="18" spans="1:9" x14ac:dyDescent="0.25">
      <c r="A18" t="s">
        <v>110</v>
      </c>
      <c r="B18">
        <v>46</v>
      </c>
      <c r="C18">
        <v>0</v>
      </c>
      <c r="F18" t="s">
        <v>67</v>
      </c>
      <c r="G18">
        <v>16</v>
      </c>
      <c r="H18">
        <v>80</v>
      </c>
    </row>
    <row r="19" spans="1:9" x14ac:dyDescent="0.25">
      <c r="A19" t="s">
        <v>111</v>
      </c>
      <c r="B19">
        <v>46</v>
      </c>
      <c r="C19">
        <v>0.5</v>
      </c>
      <c r="F19" t="s">
        <v>70</v>
      </c>
      <c r="G19">
        <v>18</v>
      </c>
      <c r="H19">
        <v>60</v>
      </c>
    </row>
    <row r="20" spans="1:9" x14ac:dyDescent="0.25">
      <c r="A20" t="s">
        <v>113</v>
      </c>
      <c r="B20">
        <v>37</v>
      </c>
      <c r="C20">
        <v>0.5</v>
      </c>
      <c r="F20" t="s">
        <v>59</v>
      </c>
      <c r="G20">
        <v>8</v>
      </c>
      <c r="H20">
        <v>2</v>
      </c>
    </row>
    <row r="21" spans="1:9" x14ac:dyDescent="0.25">
      <c r="A21" t="s">
        <v>112</v>
      </c>
      <c r="B21">
        <v>36</v>
      </c>
      <c r="C21">
        <v>80</v>
      </c>
      <c r="F21" t="s">
        <v>199</v>
      </c>
      <c r="G21">
        <v>18</v>
      </c>
      <c r="H21">
        <v>20</v>
      </c>
      <c r="I21" t="s">
        <v>153</v>
      </c>
    </row>
    <row r="22" spans="1:9" x14ac:dyDescent="0.25">
      <c r="F22" t="s">
        <v>63</v>
      </c>
      <c r="G22">
        <v>17</v>
      </c>
      <c r="H22">
        <v>35</v>
      </c>
    </row>
    <row r="23" spans="1:9" x14ac:dyDescent="0.25">
      <c r="F23" t="s">
        <v>62</v>
      </c>
      <c r="G23">
        <v>17</v>
      </c>
      <c r="H23">
        <v>20</v>
      </c>
    </row>
    <row r="24" spans="1:9" x14ac:dyDescent="0.25">
      <c r="F24" t="s">
        <v>69</v>
      </c>
      <c r="G24">
        <v>8</v>
      </c>
      <c r="H24">
        <v>55</v>
      </c>
    </row>
    <row r="25" spans="1:9" x14ac:dyDescent="0.25">
      <c r="F25" t="s">
        <v>75</v>
      </c>
      <c r="G25">
        <v>24</v>
      </c>
      <c r="H25">
        <v>350</v>
      </c>
    </row>
    <row r="26" spans="1:9" x14ac:dyDescent="0.25">
      <c r="F26" t="s">
        <v>76</v>
      </c>
      <c r="G26">
        <v>25</v>
      </c>
      <c r="H26">
        <v>420</v>
      </c>
    </row>
    <row r="27" spans="1:9" x14ac:dyDescent="0.25">
      <c r="F27" t="s">
        <v>157</v>
      </c>
      <c r="G27">
        <v>17</v>
      </c>
      <c r="H27">
        <v>160</v>
      </c>
      <c r="I27" t="s">
        <v>153</v>
      </c>
    </row>
    <row r="28" spans="1:9" x14ac:dyDescent="0.25">
      <c r="F28" t="s">
        <v>64</v>
      </c>
      <c r="G28">
        <v>28</v>
      </c>
      <c r="H28">
        <v>35</v>
      </c>
    </row>
    <row r="29" spans="1:9" x14ac:dyDescent="0.25">
      <c r="F29" t="s">
        <v>81</v>
      </c>
      <c r="G29">
        <v>27</v>
      </c>
      <c r="H29">
        <v>550</v>
      </c>
    </row>
    <row r="30" spans="1:9" x14ac:dyDescent="0.25">
      <c r="F30" t="s">
        <v>74</v>
      </c>
      <c r="G30">
        <v>20</v>
      </c>
      <c r="H30">
        <v>225</v>
      </c>
    </row>
    <row r="31" spans="1:9" x14ac:dyDescent="0.25">
      <c r="F31" t="s">
        <v>80</v>
      </c>
      <c r="G31">
        <v>27</v>
      </c>
      <c r="H31">
        <v>500</v>
      </c>
    </row>
    <row r="32" spans="1:9" x14ac:dyDescent="0.25">
      <c r="F32" t="s">
        <v>71</v>
      </c>
      <c r="G32">
        <v>14</v>
      </c>
      <c r="H32">
        <v>130</v>
      </c>
    </row>
  </sheetData>
  <sortState xmlns:xlrd2="http://schemas.microsoft.com/office/spreadsheetml/2017/richdata2" ref="F3:H24">
    <sortCondition ref="F3"/>
  </sortState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7BD92-54C9-44D3-B1FA-8DCA166C3DFD}">
  <sheetPr codeName="Sheet6"/>
  <dimension ref="A1:P31"/>
  <sheetViews>
    <sheetView workbookViewId="0">
      <selection activeCell="M13" sqref="M13"/>
    </sheetView>
  </sheetViews>
  <sheetFormatPr defaultRowHeight="15" x14ac:dyDescent="0.25"/>
  <cols>
    <col min="1" max="1" width="17.140625" customWidth="1"/>
    <col min="12" max="12" width="10.140625" bestFit="1" customWidth="1"/>
    <col min="16" max="16" width="12" bestFit="1" customWidth="1"/>
  </cols>
  <sheetData>
    <row r="1" spans="1:11" x14ac:dyDescent="0.25">
      <c r="A1" t="s">
        <v>34</v>
      </c>
      <c r="B1">
        <v>1.03</v>
      </c>
      <c r="C1">
        <v>1.04</v>
      </c>
      <c r="D1">
        <v>1.05</v>
      </c>
      <c r="E1">
        <v>1.06</v>
      </c>
      <c r="F1">
        <v>1.07</v>
      </c>
      <c r="G1">
        <v>1.08</v>
      </c>
      <c r="H1">
        <v>1.0900000000000001</v>
      </c>
      <c r="I1">
        <v>1.1000000000000001</v>
      </c>
      <c r="J1">
        <v>1.1100000000000001</v>
      </c>
      <c r="K1">
        <v>1.1200000000000001</v>
      </c>
    </row>
    <row r="2" spans="1:11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25">
      <c r="A3">
        <v>5</v>
      </c>
      <c r="B3">
        <v>5.5E-2</v>
      </c>
      <c r="C3">
        <v>0.05</v>
      </c>
      <c r="D3">
        <v>4.5999999999999999E-2</v>
      </c>
      <c r="E3">
        <v>4.2000000000000003E-2</v>
      </c>
      <c r="F3">
        <v>3.7999999999999999E-2</v>
      </c>
      <c r="G3">
        <v>3.5000000000000003E-2</v>
      </c>
      <c r="H3">
        <v>3.2000000000000001E-2</v>
      </c>
      <c r="I3">
        <v>2.9000000000000001E-2</v>
      </c>
      <c r="J3">
        <v>2.7E-2</v>
      </c>
      <c r="K3">
        <v>2.5000000000000001E-2</v>
      </c>
    </row>
    <row r="4" spans="1:11" x14ac:dyDescent="0.25">
      <c r="A4">
        <v>10</v>
      </c>
      <c r="B4">
        <v>0.1</v>
      </c>
      <c r="C4">
        <v>9.0999999999999998E-2</v>
      </c>
      <c r="D4">
        <v>8.4000000000000005E-2</v>
      </c>
      <c r="E4">
        <v>7.5999999999999998E-2</v>
      </c>
      <c r="F4">
        <v>7.0000000000000007E-2</v>
      </c>
      <c r="G4">
        <v>6.4000000000000001E-2</v>
      </c>
      <c r="H4">
        <v>5.8000000000000003E-2</v>
      </c>
      <c r="I4">
        <v>5.2999999999999999E-2</v>
      </c>
      <c r="J4">
        <v>4.9000000000000002E-2</v>
      </c>
      <c r="K4">
        <v>4.4999999999999998E-2</v>
      </c>
    </row>
    <row r="5" spans="1:11" x14ac:dyDescent="0.25">
      <c r="A5">
        <v>15</v>
      </c>
      <c r="B5">
        <v>0.13700000000000001</v>
      </c>
      <c r="C5">
        <v>0.125</v>
      </c>
      <c r="D5">
        <v>0.114</v>
      </c>
      <c r="E5">
        <v>0.105</v>
      </c>
      <c r="F5">
        <v>9.6000000000000002E-2</v>
      </c>
      <c r="G5">
        <v>8.6999999999999994E-2</v>
      </c>
      <c r="H5">
        <v>0.08</v>
      </c>
      <c r="I5">
        <v>7.2999999999999995E-2</v>
      </c>
      <c r="J5">
        <v>6.7000000000000004E-2</v>
      </c>
      <c r="K5">
        <v>6.0999999999999999E-2</v>
      </c>
    </row>
    <row r="6" spans="1:11" x14ac:dyDescent="0.25">
      <c r="A6">
        <v>20</v>
      </c>
      <c r="B6">
        <v>0.16700000000000001</v>
      </c>
      <c r="C6">
        <v>0.153</v>
      </c>
      <c r="D6">
        <v>0.14000000000000001</v>
      </c>
      <c r="E6">
        <v>0.128</v>
      </c>
      <c r="F6">
        <v>0.11700000000000001</v>
      </c>
      <c r="G6">
        <v>0.107</v>
      </c>
      <c r="H6">
        <v>9.8000000000000004E-2</v>
      </c>
      <c r="I6">
        <v>8.8999999999999996E-2</v>
      </c>
      <c r="J6">
        <v>8.1000000000000003E-2</v>
      </c>
      <c r="K6">
        <v>7.3999999999999996E-2</v>
      </c>
    </row>
    <row r="7" spans="1:11" x14ac:dyDescent="0.25">
      <c r="A7">
        <v>25</v>
      </c>
      <c r="B7">
        <v>0.192</v>
      </c>
      <c r="C7">
        <v>0.17499999999999999</v>
      </c>
      <c r="D7">
        <v>0.16</v>
      </c>
      <c r="E7">
        <v>0.14699999999999999</v>
      </c>
      <c r="F7">
        <v>0.13400000000000001</v>
      </c>
      <c r="G7">
        <v>0.122</v>
      </c>
      <c r="H7">
        <v>0.112</v>
      </c>
      <c r="I7">
        <v>0.10199999999999999</v>
      </c>
      <c r="J7">
        <v>9.4E-2</v>
      </c>
      <c r="K7">
        <v>8.5000000000000006E-2</v>
      </c>
    </row>
    <row r="8" spans="1:11" x14ac:dyDescent="0.25">
      <c r="A8">
        <v>30</v>
      </c>
      <c r="B8">
        <v>0.21199999999999999</v>
      </c>
      <c r="C8">
        <v>0.19400000000000001</v>
      </c>
      <c r="D8">
        <v>0.17699999999999999</v>
      </c>
      <c r="E8">
        <v>0.16200000000000001</v>
      </c>
      <c r="F8">
        <v>0.14799999999999999</v>
      </c>
      <c r="G8">
        <v>0.13500000000000001</v>
      </c>
      <c r="H8">
        <v>0.124</v>
      </c>
      <c r="I8">
        <v>0.113</v>
      </c>
      <c r="J8">
        <v>0.10299999999999999</v>
      </c>
      <c r="K8">
        <v>9.4E-2</v>
      </c>
    </row>
    <row r="9" spans="1:11" x14ac:dyDescent="0.25">
      <c r="A9">
        <v>35</v>
      </c>
      <c r="B9">
        <v>0.22900000000000001</v>
      </c>
      <c r="C9">
        <v>0.20899999999999999</v>
      </c>
      <c r="D9">
        <v>0.191</v>
      </c>
      <c r="E9">
        <v>0.17499999999999999</v>
      </c>
      <c r="F9">
        <v>0.16</v>
      </c>
      <c r="G9">
        <v>0.14599999999999999</v>
      </c>
      <c r="H9">
        <v>0.13300000000000001</v>
      </c>
      <c r="I9">
        <v>0.122</v>
      </c>
      <c r="J9">
        <v>0.111</v>
      </c>
      <c r="K9">
        <v>0.10199999999999999</v>
      </c>
    </row>
    <row r="10" spans="1:11" x14ac:dyDescent="0.25">
      <c r="A10">
        <v>40</v>
      </c>
      <c r="B10">
        <v>0.24199999999999999</v>
      </c>
      <c r="C10">
        <v>0.221</v>
      </c>
      <c r="D10">
        <v>0.20200000000000001</v>
      </c>
      <c r="E10">
        <v>0.185</v>
      </c>
      <c r="F10">
        <v>0.16900000000000001</v>
      </c>
      <c r="G10">
        <v>0.155</v>
      </c>
      <c r="H10">
        <v>0.14099999999999999</v>
      </c>
      <c r="I10">
        <v>0.129</v>
      </c>
      <c r="J10">
        <v>0.11799999999999999</v>
      </c>
      <c r="K10">
        <v>0.108</v>
      </c>
    </row>
    <row r="11" spans="1:11" x14ac:dyDescent="0.25">
      <c r="A11">
        <v>45</v>
      </c>
      <c r="B11">
        <v>0.253</v>
      </c>
      <c r="C11">
        <v>0.23200000000000001</v>
      </c>
      <c r="D11">
        <v>0.21199999999999999</v>
      </c>
      <c r="E11">
        <v>0.19400000000000001</v>
      </c>
      <c r="F11">
        <v>0.17699999999999999</v>
      </c>
      <c r="G11">
        <v>0.16200000000000001</v>
      </c>
      <c r="H11">
        <v>0.14799999999999999</v>
      </c>
      <c r="I11">
        <v>0.13500000000000001</v>
      </c>
      <c r="J11">
        <v>0.123</v>
      </c>
      <c r="K11">
        <v>0.113</v>
      </c>
    </row>
    <row r="12" spans="1:11" x14ac:dyDescent="0.25">
      <c r="A12">
        <v>50</v>
      </c>
      <c r="B12">
        <v>0.26300000000000001</v>
      </c>
      <c r="C12">
        <v>0.24</v>
      </c>
      <c r="D12">
        <v>0.219</v>
      </c>
      <c r="E12">
        <v>0.2</v>
      </c>
      <c r="F12">
        <v>0.183</v>
      </c>
      <c r="G12">
        <v>0.16800000000000001</v>
      </c>
      <c r="H12">
        <v>0.153</v>
      </c>
      <c r="I12">
        <v>0.14000000000000001</v>
      </c>
      <c r="J12">
        <v>0.128</v>
      </c>
      <c r="K12">
        <v>0.11700000000000001</v>
      </c>
    </row>
    <row r="13" spans="1:11" x14ac:dyDescent="0.25">
      <c r="A13">
        <v>55</v>
      </c>
      <c r="B13">
        <v>0.27</v>
      </c>
      <c r="C13">
        <v>0.247</v>
      </c>
      <c r="D13">
        <v>0.22600000000000001</v>
      </c>
      <c r="E13">
        <v>0.20599999999999999</v>
      </c>
      <c r="F13">
        <v>0.188</v>
      </c>
      <c r="G13">
        <v>0.17199999999999999</v>
      </c>
      <c r="H13">
        <v>0.157</v>
      </c>
      <c r="I13">
        <v>0.14399999999999999</v>
      </c>
      <c r="J13">
        <v>0.13200000000000001</v>
      </c>
      <c r="K13">
        <v>0.12</v>
      </c>
    </row>
    <row r="14" spans="1:11" x14ac:dyDescent="0.25">
      <c r="A14">
        <v>60</v>
      </c>
      <c r="B14">
        <v>0.27600000000000002</v>
      </c>
      <c r="C14">
        <v>0.252</v>
      </c>
      <c r="D14">
        <v>0.23100000000000001</v>
      </c>
      <c r="E14">
        <v>0.21099999999999999</v>
      </c>
      <c r="F14">
        <v>0.193</v>
      </c>
      <c r="G14">
        <v>0.17599999999999999</v>
      </c>
      <c r="H14">
        <v>0.161</v>
      </c>
      <c r="I14">
        <v>0.14699999999999999</v>
      </c>
      <c r="J14">
        <v>0.13500000000000001</v>
      </c>
      <c r="K14">
        <v>0.123</v>
      </c>
    </row>
    <row r="15" spans="1:11" x14ac:dyDescent="0.25">
      <c r="A15">
        <v>70</v>
      </c>
      <c r="B15">
        <v>0.28499999999999998</v>
      </c>
      <c r="C15">
        <v>0.26100000000000001</v>
      </c>
      <c r="D15">
        <v>0.23799999999999999</v>
      </c>
      <c r="E15">
        <v>0.218</v>
      </c>
      <c r="F15">
        <v>0.19900000000000001</v>
      </c>
      <c r="G15">
        <v>0.182</v>
      </c>
      <c r="H15">
        <v>0.16600000000000001</v>
      </c>
      <c r="I15">
        <v>0.152</v>
      </c>
      <c r="J15">
        <v>0.13900000000000001</v>
      </c>
      <c r="K15">
        <v>0.127</v>
      </c>
    </row>
    <row r="16" spans="1:11" x14ac:dyDescent="0.25">
      <c r="A16">
        <v>80</v>
      </c>
      <c r="B16">
        <v>0.29099999999999998</v>
      </c>
      <c r="C16">
        <v>0.26600000000000001</v>
      </c>
      <c r="D16">
        <v>0.24299999999999999</v>
      </c>
      <c r="E16">
        <v>0.222</v>
      </c>
      <c r="F16">
        <v>0.20300000000000001</v>
      </c>
      <c r="G16">
        <v>0.186</v>
      </c>
      <c r="H16">
        <v>0.17</v>
      </c>
      <c r="I16">
        <v>0.155</v>
      </c>
      <c r="J16">
        <v>0.14199999999999999</v>
      </c>
      <c r="K16">
        <v>0.13</v>
      </c>
    </row>
    <row r="17" spans="1:16" x14ac:dyDescent="0.25">
      <c r="A17">
        <v>90</v>
      </c>
      <c r="B17">
        <v>0.29499999999999998</v>
      </c>
      <c r="C17">
        <v>0.27</v>
      </c>
      <c r="D17">
        <v>0.247</v>
      </c>
      <c r="E17">
        <v>0.22600000000000001</v>
      </c>
      <c r="F17">
        <v>0.20599999999999999</v>
      </c>
      <c r="G17">
        <v>0.188</v>
      </c>
      <c r="H17">
        <v>0.17199999999999999</v>
      </c>
      <c r="I17">
        <v>0.157</v>
      </c>
      <c r="J17">
        <v>0.14399999999999999</v>
      </c>
      <c r="K17">
        <v>0.13200000000000001</v>
      </c>
    </row>
    <row r="18" spans="1:16" x14ac:dyDescent="0.25">
      <c r="A18">
        <v>100</v>
      </c>
      <c r="B18">
        <v>0.29799999999999999</v>
      </c>
      <c r="C18">
        <v>0.27200000000000002</v>
      </c>
      <c r="D18">
        <v>0.249</v>
      </c>
      <c r="E18">
        <v>0.22800000000000001</v>
      </c>
      <c r="F18">
        <v>0.20799999999999999</v>
      </c>
      <c r="G18">
        <v>0.19</v>
      </c>
      <c r="H18">
        <v>0.17399999999999999</v>
      </c>
      <c r="I18">
        <v>0.159</v>
      </c>
      <c r="J18">
        <v>0.14499999999999999</v>
      </c>
      <c r="K18">
        <v>0.13300000000000001</v>
      </c>
    </row>
    <row r="19" spans="1:16" x14ac:dyDescent="0.25">
      <c r="A19">
        <v>110</v>
      </c>
      <c r="B19">
        <v>0.3</v>
      </c>
      <c r="C19">
        <v>0.27400000000000002</v>
      </c>
      <c r="D19">
        <v>0.251</v>
      </c>
      <c r="E19">
        <v>0.22900000000000001</v>
      </c>
      <c r="F19">
        <v>0.20899999999999999</v>
      </c>
      <c r="G19">
        <v>0.191</v>
      </c>
      <c r="H19">
        <v>0.17499999999999999</v>
      </c>
      <c r="I19">
        <v>0.16</v>
      </c>
      <c r="J19">
        <v>0.14599999999999999</v>
      </c>
      <c r="K19">
        <v>0.13400000000000001</v>
      </c>
    </row>
    <row r="20" spans="1:16" x14ac:dyDescent="0.25">
      <c r="A20">
        <v>120</v>
      </c>
      <c r="B20">
        <v>0.30099999999999999</v>
      </c>
      <c r="C20">
        <v>0.27500000000000002</v>
      </c>
      <c r="D20">
        <v>0.252</v>
      </c>
      <c r="E20">
        <v>0.23</v>
      </c>
      <c r="F20">
        <v>0.21</v>
      </c>
      <c r="G20">
        <v>0.192</v>
      </c>
      <c r="H20">
        <v>0.17599999999999999</v>
      </c>
      <c r="I20">
        <v>0.161</v>
      </c>
      <c r="J20">
        <v>0.14699999999999999</v>
      </c>
      <c r="K20">
        <v>0.13400000000000001</v>
      </c>
    </row>
    <row r="25" spans="1:16" x14ac:dyDescent="0.25">
      <c r="B25" t="s">
        <v>42</v>
      </c>
      <c r="C25" t="s">
        <v>43</v>
      </c>
      <c r="D25" t="s">
        <v>44</v>
      </c>
      <c r="E25" t="s">
        <v>45</v>
      </c>
      <c r="F25" t="s">
        <v>46</v>
      </c>
      <c r="G25" t="s">
        <v>47</v>
      </c>
      <c r="H25" t="s">
        <v>48</v>
      </c>
      <c r="I25" t="s">
        <v>49</v>
      </c>
      <c r="J25" t="s">
        <v>50</v>
      </c>
      <c r="K25" t="s">
        <v>51</v>
      </c>
      <c r="L25" t="s">
        <v>35</v>
      </c>
      <c r="M25" t="s">
        <v>54</v>
      </c>
      <c r="N25" t="s">
        <v>55</v>
      </c>
      <c r="O25" t="s">
        <v>56</v>
      </c>
    </row>
    <row r="26" spans="1:16" x14ac:dyDescent="0.25">
      <c r="A26" t="s">
        <v>36</v>
      </c>
      <c r="B26">
        <f>'Extract Recipe Builder'!E28</f>
        <v>60</v>
      </c>
      <c r="C26">
        <f>'Extract Recipe Builder'!$D$48</f>
        <v>1</v>
      </c>
      <c r="D26" t="e">
        <f>INDEX($B$1:$K$1,MATCH(C26,$B$1:$K$1,1))</f>
        <v>#N/A</v>
      </c>
      <c r="E26" t="e">
        <f>INDEX($B$1:$K$1,MATCH(C26,$B$1:$K$1,1)+1)</f>
        <v>#N/A</v>
      </c>
      <c r="F26">
        <f>INDEX($A$2:$A$20,MATCH(B26,$A$2:$A$20,1))</f>
        <v>60</v>
      </c>
      <c r="G26">
        <f>INDEX($A$2:$A$20,MATCH(B26,$A$2:$A$20,1)+1)</f>
        <v>70</v>
      </c>
      <c r="H26" t="e">
        <f>INDEX($B$2:$K$20,MATCH(F26,$A$2:$A$20,0),MATCH(D26,$B$1:$K$1,0))</f>
        <v>#N/A</v>
      </c>
      <c r="I26" t="e">
        <f>INDEX($B$2:$K$20,MATCH(G26,$A$2:$A$20,0),MATCH(D26,$B$1:$K$1,0))</f>
        <v>#N/A</v>
      </c>
      <c r="J26" t="e">
        <f>INDEX($B$2:$K$20,MATCH(F26,$A$2:$A$20,0),MATCH(E26,$B$1:$K$1,0))</f>
        <v>#N/A</v>
      </c>
      <c r="K26" t="e">
        <f>INDEX($B$2:$K$20,MATCH(G26,$A$2:$A$20,0),MATCH(E26,$B$1:$K$1,0))</f>
        <v>#N/A</v>
      </c>
      <c r="L26" s="10" t="e">
        <f>1/((E26-D26)*(G26-F26))*(H26*(E26-C26)*(G26-B26)+J26*(C26-D26)*(G26-B26)+I26*(E26-C26)*(B26-F26)+K26*(C26-D26)*(B26-F26))</f>
        <v>#N/A</v>
      </c>
      <c r="M26">
        <f>1.65*0.000125^(C26-1)</f>
        <v>1.65</v>
      </c>
      <c r="N26">
        <f>(1-EXP(-0.04*B26))/4.15</f>
        <v>0.21910410764110541</v>
      </c>
      <c r="O26">
        <f>M26*N26</f>
        <v>0.36152177760782389</v>
      </c>
    </row>
    <row r="27" spans="1:16" x14ac:dyDescent="0.25">
      <c r="A27" t="s">
        <v>37</v>
      </c>
      <c r="B27">
        <f>'Extract Recipe Builder'!E29</f>
        <v>0</v>
      </c>
      <c r="C27">
        <f>'Extract Recipe Builder'!$D$48</f>
        <v>1</v>
      </c>
      <c r="D27" t="e">
        <f t="shared" ref="D27:D30" si="0">INDEX($B$1:$K$1,MATCH(C27,$B$1:$K$1,1))</f>
        <v>#N/A</v>
      </c>
      <c r="E27" t="e">
        <f t="shared" ref="E27:E31" si="1">INDEX($B$1:$K$1,MATCH(C27,$B$1:$K$1,1)+1)</f>
        <v>#N/A</v>
      </c>
      <c r="F27">
        <f t="shared" ref="F27:F31" si="2">INDEX($A$2:$A$20,MATCH(B27,$A$2:$A$20,1))</f>
        <v>0</v>
      </c>
      <c r="G27">
        <f t="shared" ref="G27:G31" si="3">INDEX($A$2:$A$20,MATCH(B27,$A$2:$A$20,1)+1)</f>
        <v>5</v>
      </c>
      <c r="H27" t="e">
        <f t="shared" ref="H27:H31" si="4">INDEX($B$2:$K$20,MATCH(F27,$A$2:$A$20,0),MATCH(D27,$B$1:$K$1,0))</f>
        <v>#N/A</v>
      </c>
      <c r="I27" t="e">
        <f>INDEX($B$2:$K$20,MATCH(G27,$A$2:$A$20,0),MATCH(D27,$B$1:$K$1,0))</f>
        <v>#N/A</v>
      </c>
      <c r="J27" t="e">
        <f t="shared" ref="J27:J31" si="5">INDEX($B$2:$K$20,MATCH(F27,$A$2:$A$20,0),MATCH(E27,$B$1:$K$1,0))</f>
        <v>#N/A</v>
      </c>
      <c r="K27" t="e">
        <f t="shared" ref="K27:K31" si="6">INDEX($B$2:$K$20,MATCH(G27,$A$2:$A$20,0),MATCH(E27,$B$1:$K$1,0))</f>
        <v>#N/A</v>
      </c>
      <c r="L27" s="10" t="e">
        <f t="shared" ref="L27:L30" si="7">1/((E27-D27)*(G27-F27))*(H27*(E27-C27)*(G27-B27)+J27*(C27-D27)*(G27-B27)+I27*(E27-C27)*(B27-F27)+K27*(C27-D27)*(B27-F27))</f>
        <v>#N/A</v>
      </c>
      <c r="M27">
        <f t="shared" ref="M27:M31" si="8">1.65*0.000125^(C27-1)</f>
        <v>1.65</v>
      </c>
      <c r="N27">
        <f t="shared" ref="N27:N31" si="9">(1-EXP(-0.04*B27))/4.15</f>
        <v>0</v>
      </c>
      <c r="O27">
        <f t="shared" ref="O27:O31" si="10">M27*N27</f>
        <v>0</v>
      </c>
      <c r="P27" s="13"/>
    </row>
    <row r="28" spans="1:16" x14ac:dyDescent="0.25">
      <c r="A28" t="s">
        <v>38</v>
      </c>
      <c r="B28">
        <f>'Extract Recipe Builder'!E30</f>
        <v>0</v>
      </c>
      <c r="C28">
        <f>'Extract Recipe Builder'!$D$48</f>
        <v>1</v>
      </c>
      <c r="D28" t="e">
        <f t="shared" si="0"/>
        <v>#N/A</v>
      </c>
      <c r="E28" t="e">
        <f t="shared" si="1"/>
        <v>#N/A</v>
      </c>
      <c r="F28">
        <f t="shared" si="2"/>
        <v>0</v>
      </c>
      <c r="G28">
        <f t="shared" si="3"/>
        <v>5</v>
      </c>
      <c r="H28" t="e">
        <f t="shared" si="4"/>
        <v>#N/A</v>
      </c>
      <c r="I28" t="e">
        <f t="shared" ref="I28:I31" si="11">INDEX($B$2:$K$20,MATCH(G28,$A$2:$A$20,0),MATCH(D28,$B$1:$K$1,0))</f>
        <v>#N/A</v>
      </c>
      <c r="J28" t="e">
        <f t="shared" si="5"/>
        <v>#N/A</v>
      </c>
      <c r="K28" t="e">
        <f t="shared" si="6"/>
        <v>#N/A</v>
      </c>
      <c r="L28" s="10" t="e">
        <f t="shared" si="7"/>
        <v>#N/A</v>
      </c>
      <c r="M28">
        <f t="shared" si="8"/>
        <v>1.65</v>
      </c>
      <c r="N28">
        <f t="shared" si="9"/>
        <v>0</v>
      </c>
      <c r="O28">
        <f t="shared" si="10"/>
        <v>0</v>
      </c>
      <c r="P28" s="13"/>
    </row>
    <row r="29" spans="1:16" x14ac:dyDescent="0.25">
      <c r="A29" t="s">
        <v>39</v>
      </c>
      <c r="B29">
        <f>'Extract Recipe Builder'!E31</f>
        <v>0</v>
      </c>
      <c r="C29">
        <f>'Extract Recipe Builder'!$D$48</f>
        <v>1</v>
      </c>
      <c r="D29" t="e">
        <f t="shared" si="0"/>
        <v>#N/A</v>
      </c>
      <c r="E29" t="e">
        <f t="shared" si="1"/>
        <v>#N/A</v>
      </c>
      <c r="F29">
        <f t="shared" si="2"/>
        <v>0</v>
      </c>
      <c r="G29">
        <f t="shared" si="3"/>
        <v>5</v>
      </c>
      <c r="H29" t="e">
        <f t="shared" si="4"/>
        <v>#N/A</v>
      </c>
      <c r="I29" t="e">
        <f t="shared" si="11"/>
        <v>#N/A</v>
      </c>
      <c r="J29" t="e">
        <f t="shared" si="5"/>
        <v>#N/A</v>
      </c>
      <c r="K29" t="e">
        <f t="shared" si="6"/>
        <v>#N/A</v>
      </c>
      <c r="L29" s="10" t="e">
        <f t="shared" si="7"/>
        <v>#N/A</v>
      </c>
      <c r="M29">
        <f t="shared" si="8"/>
        <v>1.65</v>
      </c>
      <c r="N29">
        <f t="shared" si="9"/>
        <v>0</v>
      </c>
      <c r="O29">
        <f t="shared" si="10"/>
        <v>0</v>
      </c>
      <c r="P29" s="13"/>
    </row>
    <row r="30" spans="1:16" x14ac:dyDescent="0.25">
      <c r="A30" t="s">
        <v>40</v>
      </c>
      <c r="B30">
        <f>'Extract Recipe Builder'!E32</f>
        <v>0</v>
      </c>
      <c r="C30">
        <f>'Extract Recipe Builder'!$D$48</f>
        <v>1</v>
      </c>
      <c r="D30" t="e">
        <f t="shared" si="0"/>
        <v>#N/A</v>
      </c>
      <c r="E30" t="e">
        <f t="shared" si="1"/>
        <v>#N/A</v>
      </c>
      <c r="F30">
        <f t="shared" si="2"/>
        <v>0</v>
      </c>
      <c r="G30">
        <f t="shared" si="3"/>
        <v>5</v>
      </c>
      <c r="H30" t="e">
        <f t="shared" si="4"/>
        <v>#N/A</v>
      </c>
      <c r="I30" t="e">
        <f t="shared" si="11"/>
        <v>#N/A</v>
      </c>
      <c r="J30" t="e">
        <f t="shared" si="5"/>
        <v>#N/A</v>
      </c>
      <c r="K30" t="e">
        <f t="shared" si="6"/>
        <v>#N/A</v>
      </c>
      <c r="L30" s="10" t="e">
        <f t="shared" si="7"/>
        <v>#N/A</v>
      </c>
      <c r="M30">
        <f t="shared" si="8"/>
        <v>1.65</v>
      </c>
      <c r="N30">
        <f t="shared" si="9"/>
        <v>0</v>
      </c>
      <c r="O30">
        <f t="shared" si="10"/>
        <v>0</v>
      </c>
      <c r="P30" s="13"/>
    </row>
    <row r="31" spans="1:16" x14ac:dyDescent="0.25">
      <c r="A31" t="s">
        <v>41</v>
      </c>
      <c r="B31">
        <f>'Extract Recipe Builder'!E33</f>
        <v>0</v>
      </c>
      <c r="C31">
        <f>'Extract Recipe Builder'!$D$48</f>
        <v>1</v>
      </c>
      <c r="D31" t="e">
        <f>INDEX($B$1:$K$1,MATCH(C31,$B$1:$K$1,1))</f>
        <v>#N/A</v>
      </c>
      <c r="E31" t="e">
        <f t="shared" si="1"/>
        <v>#N/A</v>
      </c>
      <c r="F31">
        <f t="shared" si="2"/>
        <v>0</v>
      </c>
      <c r="G31">
        <f t="shared" si="3"/>
        <v>5</v>
      </c>
      <c r="H31" t="e">
        <f t="shared" si="4"/>
        <v>#N/A</v>
      </c>
      <c r="I31" t="e">
        <f t="shared" si="11"/>
        <v>#N/A</v>
      </c>
      <c r="J31" t="e">
        <f t="shared" si="5"/>
        <v>#N/A</v>
      </c>
      <c r="K31" t="e">
        <f t="shared" si="6"/>
        <v>#N/A</v>
      </c>
      <c r="L31" s="10" t="e">
        <f>1/((E31-D31)*(G31-F31))*(H31*(E31-C31)*(G31-B31)+J31*(C31-D31)*(G31-B31)+I31*(E31-C31)*(B31-F31)+K31*(C31-D31)*(B31-F31))</f>
        <v>#N/A</v>
      </c>
      <c r="M31">
        <f t="shared" si="8"/>
        <v>1.65</v>
      </c>
      <c r="N31">
        <f t="shared" si="9"/>
        <v>0</v>
      </c>
      <c r="O31">
        <f t="shared" si="10"/>
        <v>0</v>
      </c>
      <c r="P31" s="13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E4D37-42C2-4AC1-82F9-BD9205764D2A}">
  <sheetPr codeName="Sheet7"/>
  <dimension ref="A1:F1173"/>
  <sheetViews>
    <sheetView workbookViewId="0">
      <selection activeCell="D10" sqref="D10"/>
    </sheetView>
  </sheetViews>
  <sheetFormatPr defaultRowHeight="15" x14ac:dyDescent="0.25"/>
  <cols>
    <col min="1" max="1" width="19" bestFit="1" customWidth="1"/>
    <col min="2" max="3" width="13.85546875" customWidth="1"/>
    <col min="4" max="4" width="15.7109375" style="18" customWidth="1"/>
    <col min="5" max="5" width="10.5703125" customWidth="1"/>
    <col min="6" max="6" width="10.42578125" customWidth="1"/>
  </cols>
  <sheetData>
    <row r="1" spans="1:6" x14ac:dyDescent="0.25">
      <c r="A1" t="s">
        <v>10</v>
      </c>
      <c r="B1" t="s">
        <v>88</v>
      </c>
      <c r="C1" t="s">
        <v>99</v>
      </c>
      <c r="D1" t="s">
        <v>98</v>
      </c>
      <c r="E1" t="s">
        <v>100</v>
      </c>
      <c r="F1" t="s">
        <v>101</v>
      </c>
    </row>
    <row r="2" spans="1:6" x14ac:dyDescent="0.25">
      <c r="A2" t="s">
        <v>28</v>
      </c>
      <c r="B2" s="17">
        <v>0</v>
      </c>
      <c r="C2" t="s">
        <v>103</v>
      </c>
      <c r="D2" s="18">
        <v>0</v>
      </c>
      <c r="E2">
        <v>0</v>
      </c>
      <c r="F2">
        <v>0</v>
      </c>
    </row>
    <row r="3" spans="1:6" x14ac:dyDescent="0.25">
      <c r="A3" t="s">
        <v>105</v>
      </c>
      <c r="B3" s="17">
        <v>0.77</v>
      </c>
      <c r="C3" t="s">
        <v>97</v>
      </c>
      <c r="D3" s="12">
        <v>0.1</v>
      </c>
      <c r="E3">
        <v>57</v>
      </c>
      <c r="F3">
        <v>70</v>
      </c>
    </row>
    <row r="4" spans="1:6" x14ac:dyDescent="0.25">
      <c r="A4" t="s">
        <v>87</v>
      </c>
      <c r="B4" s="17">
        <v>0.81</v>
      </c>
      <c r="C4" t="s">
        <v>102</v>
      </c>
      <c r="D4" s="12">
        <v>9.5000000000000001E-2</v>
      </c>
      <c r="E4">
        <v>54</v>
      </c>
      <c r="F4">
        <v>77</v>
      </c>
    </row>
    <row r="5" spans="1:6" x14ac:dyDescent="0.25">
      <c r="A5" t="s">
        <v>89</v>
      </c>
      <c r="B5" s="17">
        <v>0.72</v>
      </c>
      <c r="C5" t="s">
        <v>102</v>
      </c>
      <c r="D5" s="12">
        <v>9.5000000000000001E-2</v>
      </c>
      <c r="E5">
        <v>59</v>
      </c>
      <c r="F5">
        <v>75</v>
      </c>
    </row>
    <row r="6" spans="1:6" x14ac:dyDescent="0.25">
      <c r="A6" t="s">
        <v>90</v>
      </c>
      <c r="B6" s="17">
        <v>0.9</v>
      </c>
      <c r="C6" t="s">
        <v>104</v>
      </c>
      <c r="D6" s="12">
        <v>0.11</v>
      </c>
      <c r="E6">
        <v>64</v>
      </c>
      <c r="F6">
        <v>82</v>
      </c>
    </row>
    <row r="7" spans="1:6" x14ac:dyDescent="0.25">
      <c r="A7" t="s">
        <v>92</v>
      </c>
      <c r="B7" s="17">
        <v>0.75</v>
      </c>
      <c r="C7" t="s">
        <v>97</v>
      </c>
      <c r="D7" s="12">
        <v>9.7500000000000003E-2</v>
      </c>
      <c r="E7">
        <v>54</v>
      </c>
      <c r="F7">
        <v>77</v>
      </c>
    </row>
    <row r="8" spans="1:6" x14ac:dyDescent="0.25">
      <c r="A8" t="s">
        <v>93</v>
      </c>
      <c r="B8" s="17">
        <v>0.81</v>
      </c>
      <c r="C8" t="s">
        <v>97</v>
      </c>
      <c r="D8" s="12">
        <v>0.104</v>
      </c>
      <c r="E8">
        <v>54</v>
      </c>
      <c r="F8">
        <v>77</v>
      </c>
    </row>
    <row r="9" spans="1:6" x14ac:dyDescent="0.25">
      <c r="A9" t="s">
        <v>91</v>
      </c>
      <c r="B9" s="17">
        <v>0.82</v>
      </c>
      <c r="C9" t="s">
        <v>97</v>
      </c>
      <c r="D9" s="12">
        <v>0.11</v>
      </c>
      <c r="E9">
        <v>54</v>
      </c>
      <c r="F9">
        <v>77</v>
      </c>
    </row>
    <row r="10" spans="1:6" x14ac:dyDescent="0.25">
      <c r="A10" t="s">
        <v>94</v>
      </c>
      <c r="B10" s="17">
        <v>0.7</v>
      </c>
      <c r="C10" t="s">
        <v>97</v>
      </c>
      <c r="D10" s="12">
        <v>0.115</v>
      </c>
      <c r="E10">
        <v>54</v>
      </c>
      <c r="F10">
        <v>77</v>
      </c>
    </row>
    <row r="11" spans="1:6" x14ac:dyDescent="0.25">
      <c r="A11" t="s">
        <v>95</v>
      </c>
      <c r="B11" s="17">
        <v>0.7</v>
      </c>
      <c r="C11" t="s">
        <v>97</v>
      </c>
      <c r="D11" s="12">
        <v>0.115</v>
      </c>
      <c r="E11">
        <v>54</v>
      </c>
      <c r="F11">
        <v>77</v>
      </c>
    </row>
    <row r="12" spans="1:6" x14ac:dyDescent="0.25">
      <c r="A12" t="s">
        <v>96</v>
      </c>
      <c r="B12" s="17">
        <v>0.86</v>
      </c>
      <c r="C12" t="s">
        <v>104</v>
      </c>
      <c r="D12" s="12">
        <v>0.105</v>
      </c>
      <c r="E12">
        <v>54</v>
      </c>
      <c r="F12">
        <v>77</v>
      </c>
    </row>
    <row r="13" spans="1:6" x14ac:dyDescent="0.25">
      <c r="D13"/>
    </row>
    <row r="14" spans="1:6" x14ac:dyDescent="0.25">
      <c r="D14"/>
    </row>
    <row r="15" spans="1:6" x14ac:dyDescent="0.25">
      <c r="D15"/>
    </row>
    <row r="16" spans="1:6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  <row r="147" spans="4:4" x14ac:dyDescent="0.25">
      <c r="D147"/>
    </row>
    <row r="148" spans="4:4" x14ac:dyDescent="0.25">
      <c r="D148"/>
    </row>
    <row r="149" spans="4:4" x14ac:dyDescent="0.25">
      <c r="D149"/>
    </row>
    <row r="150" spans="4:4" x14ac:dyDescent="0.25">
      <c r="D150"/>
    </row>
    <row r="151" spans="4:4" x14ac:dyDescent="0.25">
      <c r="D151"/>
    </row>
    <row r="152" spans="4:4" x14ac:dyDescent="0.25">
      <c r="D152"/>
    </row>
    <row r="153" spans="4:4" x14ac:dyDescent="0.25">
      <c r="D153"/>
    </row>
    <row r="154" spans="4:4" x14ac:dyDescent="0.25">
      <c r="D154"/>
    </row>
    <row r="155" spans="4:4" x14ac:dyDescent="0.25">
      <c r="D155"/>
    </row>
    <row r="156" spans="4:4" x14ac:dyDescent="0.25">
      <c r="D156"/>
    </row>
    <row r="157" spans="4:4" x14ac:dyDescent="0.25">
      <c r="D157"/>
    </row>
    <row r="158" spans="4:4" x14ac:dyDescent="0.25">
      <c r="D158"/>
    </row>
    <row r="159" spans="4:4" x14ac:dyDescent="0.25">
      <c r="D159"/>
    </row>
    <row r="160" spans="4:4" x14ac:dyDescent="0.25">
      <c r="D160"/>
    </row>
    <row r="161" spans="4:4" x14ac:dyDescent="0.25">
      <c r="D161"/>
    </row>
    <row r="162" spans="4:4" x14ac:dyDescent="0.25">
      <c r="D162"/>
    </row>
    <row r="163" spans="4:4" x14ac:dyDescent="0.25">
      <c r="D163"/>
    </row>
    <row r="164" spans="4:4" x14ac:dyDescent="0.25">
      <c r="D164"/>
    </row>
    <row r="165" spans="4:4" x14ac:dyDescent="0.25">
      <c r="D165"/>
    </row>
    <row r="166" spans="4:4" x14ac:dyDescent="0.25">
      <c r="D166"/>
    </row>
    <row r="167" spans="4:4" x14ac:dyDescent="0.25">
      <c r="D167"/>
    </row>
    <row r="168" spans="4:4" x14ac:dyDescent="0.25">
      <c r="D168"/>
    </row>
    <row r="169" spans="4:4" x14ac:dyDescent="0.25">
      <c r="D169"/>
    </row>
    <row r="170" spans="4:4" x14ac:dyDescent="0.25">
      <c r="D170"/>
    </row>
    <row r="171" spans="4:4" x14ac:dyDescent="0.25">
      <c r="D171"/>
    </row>
    <row r="172" spans="4:4" x14ac:dyDescent="0.25">
      <c r="D172"/>
    </row>
    <row r="173" spans="4:4" x14ac:dyDescent="0.25">
      <c r="D173"/>
    </row>
    <row r="174" spans="4:4" x14ac:dyDescent="0.25">
      <c r="D174"/>
    </row>
    <row r="175" spans="4:4" x14ac:dyDescent="0.25">
      <c r="D175"/>
    </row>
    <row r="176" spans="4:4" x14ac:dyDescent="0.25">
      <c r="D176"/>
    </row>
    <row r="177" spans="4:4" x14ac:dyDescent="0.25">
      <c r="D177"/>
    </row>
    <row r="178" spans="4:4" x14ac:dyDescent="0.25">
      <c r="D178"/>
    </row>
    <row r="179" spans="4:4" x14ac:dyDescent="0.25">
      <c r="D179"/>
    </row>
    <row r="180" spans="4:4" x14ac:dyDescent="0.25">
      <c r="D180"/>
    </row>
    <row r="181" spans="4:4" x14ac:dyDescent="0.25">
      <c r="D181"/>
    </row>
    <row r="182" spans="4:4" x14ac:dyDescent="0.25">
      <c r="D182"/>
    </row>
    <row r="183" spans="4:4" x14ac:dyDescent="0.25">
      <c r="D183"/>
    </row>
    <row r="184" spans="4:4" x14ac:dyDescent="0.25">
      <c r="D184"/>
    </row>
    <row r="185" spans="4:4" x14ac:dyDescent="0.25">
      <c r="D185"/>
    </row>
    <row r="186" spans="4:4" x14ac:dyDescent="0.25">
      <c r="D186"/>
    </row>
    <row r="187" spans="4:4" x14ac:dyDescent="0.25">
      <c r="D187"/>
    </row>
    <row r="188" spans="4:4" x14ac:dyDescent="0.25">
      <c r="D188"/>
    </row>
    <row r="189" spans="4:4" x14ac:dyDescent="0.25">
      <c r="D189"/>
    </row>
    <row r="190" spans="4:4" x14ac:dyDescent="0.25">
      <c r="D190"/>
    </row>
    <row r="191" spans="4:4" x14ac:dyDescent="0.25">
      <c r="D191"/>
    </row>
    <row r="192" spans="4:4" x14ac:dyDescent="0.25">
      <c r="D192"/>
    </row>
    <row r="193" spans="4:4" x14ac:dyDescent="0.25">
      <c r="D193"/>
    </row>
    <row r="194" spans="4:4" x14ac:dyDescent="0.25">
      <c r="D194"/>
    </row>
    <row r="195" spans="4:4" x14ac:dyDescent="0.25">
      <c r="D195"/>
    </row>
    <row r="196" spans="4:4" x14ac:dyDescent="0.25">
      <c r="D196"/>
    </row>
    <row r="197" spans="4:4" x14ac:dyDescent="0.25">
      <c r="D197"/>
    </row>
    <row r="198" spans="4:4" x14ac:dyDescent="0.25">
      <c r="D198"/>
    </row>
    <row r="199" spans="4:4" x14ac:dyDescent="0.25">
      <c r="D199"/>
    </row>
    <row r="200" spans="4:4" x14ac:dyDescent="0.25">
      <c r="D200"/>
    </row>
    <row r="201" spans="4:4" x14ac:dyDescent="0.25">
      <c r="D201"/>
    </row>
    <row r="202" spans="4:4" x14ac:dyDescent="0.25">
      <c r="D202"/>
    </row>
    <row r="203" spans="4:4" x14ac:dyDescent="0.25">
      <c r="D203"/>
    </row>
    <row r="204" spans="4:4" x14ac:dyDescent="0.25">
      <c r="D204"/>
    </row>
    <row r="205" spans="4:4" x14ac:dyDescent="0.25">
      <c r="D205"/>
    </row>
    <row r="206" spans="4:4" x14ac:dyDescent="0.25">
      <c r="D206"/>
    </row>
    <row r="207" spans="4:4" x14ac:dyDescent="0.25">
      <c r="D207"/>
    </row>
    <row r="208" spans="4:4" x14ac:dyDescent="0.25">
      <c r="D208"/>
    </row>
    <row r="209" spans="4:4" x14ac:dyDescent="0.25">
      <c r="D209"/>
    </row>
    <row r="210" spans="4:4" x14ac:dyDescent="0.25">
      <c r="D210"/>
    </row>
    <row r="211" spans="4:4" x14ac:dyDescent="0.25">
      <c r="D211"/>
    </row>
    <row r="212" spans="4:4" x14ac:dyDescent="0.25">
      <c r="D212"/>
    </row>
    <row r="213" spans="4:4" x14ac:dyDescent="0.25">
      <c r="D213"/>
    </row>
    <row r="214" spans="4:4" x14ac:dyDescent="0.25">
      <c r="D214"/>
    </row>
    <row r="215" spans="4:4" x14ac:dyDescent="0.25">
      <c r="D215"/>
    </row>
    <row r="216" spans="4:4" x14ac:dyDescent="0.25">
      <c r="D216"/>
    </row>
    <row r="217" spans="4:4" x14ac:dyDescent="0.25">
      <c r="D217"/>
    </row>
    <row r="218" spans="4:4" x14ac:dyDescent="0.25">
      <c r="D218"/>
    </row>
    <row r="219" spans="4:4" x14ac:dyDescent="0.25">
      <c r="D219"/>
    </row>
    <row r="220" spans="4:4" x14ac:dyDescent="0.25">
      <c r="D220"/>
    </row>
    <row r="221" spans="4:4" x14ac:dyDescent="0.25">
      <c r="D221"/>
    </row>
    <row r="222" spans="4:4" x14ac:dyDescent="0.25">
      <c r="D222"/>
    </row>
    <row r="223" spans="4:4" x14ac:dyDescent="0.25">
      <c r="D223"/>
    </row>
    <row r="224" spans="4:4" x14ac:dyDescent="0.25">
      <c r="D224"/>
    </row>
    <row r="225" spans="4:4" x14ac:dyDescent="0.25">
      <c r="D225"/>
    </row>
    <row r="226" spans="4:4" x14ac:dyDescent="0.25">
      <c r="D226"/>
    </row>
    <row r="227" spans="4:4" x14ac:dyDescent="0.25">
      <c r="D227"/>
    </row>
    <row r="228" spans="4:4" x14ac:dyDescent="0.25">
      <c r="D228"/>
    </row>
    <row r="229" spans="4:4" x14ac:dyDescent="0.25">
      <c r="D229"/>
    </row>
    <row r="230" spans="4:4" x14ac:dyDescent="0.25">
      <c r="D230"/>
    </row>
    <row r="231" spans="4:4" x14ac:dyDescent="0.25">
      <c r="D231"/>
    </row>
    <row r="232" spans="4:4" x14ac:dyDescent="0.25">
      <c r="D232"/>
    </row>
    <row r="233" spans="4:4" x14ac:dyDescent="0.25">
      <c r="D233"/>
    </row>
    <row r="234" spans="4:4" x14ac:dyDescent="0.25">
      <c r="D234"/>
    </row>
    <row r="235" spans="4:4" x14ac:dyDescent="0.25">
      <c r="D235"/>
    </row>
    <row r="236" spans="4:4" x14ac:dyDescent="0.25">
      <c r="D236"/>
    </row>
    <row r="237" spans="4:4" x14ac:dyDescent="0.25">
      <c r="D237"/>
    </row>
    <row r="238" spans="4:4" x14ac:dyDescent="0.25">
      <c r="D238"/>
    </row>
    <row r="239" spans="4:4" x14ac:dyDescent="0.25">
      <c r="D239"/>
    </row>
    <row r="240" spans="4:4" x14ac:dyDescent="0.25">
      <c r="D240"/>
    </row>
    <row r="241" spans="4:4" x14ac:dyDescent="0.25">
      <c r="D241"/>
    </row>
    <row r="242" spans="4:4" x14ac:dyDescent="0.25">
      <c r="D242"/>
    </row>
    <row r="243" spans="4:4" x14ac:dyDescent="0.25">
      <c r="D243"/>
    </row>
    <row r="244" spans="4:4" x14ac:dyDescent="0.25">
      <c r="D244"/>
    </row>
    <row r="245" spans="4:4" x14ac:dyDescent="0.25">
      <c r="D245"/>
    </row>
    <row r="246" spans="4:4" x14ac:dyDescent="0.25">
      <c r="D246"/>
    </row>
    <row r="247" spans="4:4" x14ac:dyDescent="0.25">
      <c r="D247"/>
    </row>
    <row r="248" spans="4:4" x14ac:dyDescent="0.25">
      <c r="D248"/>
    </row>
    <row r="249" spans="4:4" x14ac:dyDescent="0.25">
      <c r="D249"/>
    </row>
    <row r="250" spans="4:4" x14ac:dyDescent="0.25">
      <c r="D250"/>
    </row>
    <row r="251" spans="4:4" x14ac:dyDescent="0.25">
      <c r="D251"/>
    </row>
    <row r="252" spans="4:4" x14ac:dyDescent="0.25">
      <c r="D252"/>
    </row>
    <row r="253" spans="4:4" x14ac:dyDescent="0.25">
      <c r="D253"/>
    </row>
    <row r="254" spans="4:4" x14ac:dyDescent="0.25">
      <c r="D254"/>
    </row>
    <row r="255" spans="4:4" x14ac:dyDescent="0.25">
      <c r="D255"/>
    </row>
    <row r="256" spans="4:4" x14ac:dyDescent="0.25">
      <c r="D256"/>
    </row>
    <row r="257" spans="4:4" x14ac:dyDescent="0.25">
      <c r="D257"/>
    </row>
    <row r="258" spans="4:4" x14ac:dyDescent="0.25">
      <c r="D258"/>
    </row>
    <row r="259" spans="4:4" x14ac:dyDescent="0.25">
      <c r="D259"/>
    </row>
    <row r="260" spans="4:4" x14ac:dyDescent="0.25">
      <c r="D260"/>
    </row>
    <row r="261" spans="4:4" x14ac:dyDescent="0.25">
      <c r="D261"/>
    </row>
    <row r="262" spans="4:4" x14ac:dyDescent="0.25">
      <c r="D262"/>
    </row>
    <row r="263" spans="4:4" x14ac:dyDescent="0.25">
      <c r="D263"/>
    </row>
    <row r="264" spans="4:4" x14ac:dyDescent="0.25">
      <c r="D264"/>
    </row>
    <row r="265" spans="4:4" x14ac:dyDescent="0.25">
      <c r="D265"/>
    </row>
    <row r="266" spans="4:4" x14ac:dyDescent="0.25">
      <c r="D266"/>
    </row>
    <row r="267" spans="4:4" x14ac:dyDescent="0.25">
      <c r="D267"/>
    </row>
    <row r="268" spans="4:4" x14ac:dyDescent="0.25">
      <c r="D268"/>
    </row>
    <row r="269" spans="4:4" x14ac:dyDescent="0.25">
      <c r="D269"/>
    </row>
    <row r="270" spans="4:4" x14ac:dyDescent="0.25">
      <c r="D270"/>
    </row>
    <row r="271" spans="4:4" x14ac:dyDescent="0.25">
      <c r="D271"/>
    </row>
    <row r="272" spans="4:4" x14ac:dyDescent="0.25">
      <c r="D272"/>
    </row>
    <row r="273" spans="4:4" x14ac:dyDescent="0.25">
      <c r="D273"/>
    </row>
    <row r="274" spans="4:4" x14ac:dyDescent="0.25">
      <c r="D274"/>
    </row>
    <row r="275" spans="4:4" x14ac:dyDescent="0.25">
      <c r="D275"/>
    </row>
    <row r="276" spans="4:4" x14ac:dyDescent="0.25">
      <c r="D276"/>
    </row>
    <row r="277" spans="4:4" x14ac:dyDescent="0.25">
      <c r="D277"/>
    </row>
    <row r="278" spans="4:4" x14ac:dyDescent="0.25">
      <c r="D278"/>
    </row>
    <row r="279" spans="4:4" x14ac:dyDescent="0.25">
      <c r="D279"/>
    </row>
    <row r="280" spans="4:4" x14ac:dyDescent="0.25">
      <c r="D280"/>
    </row>
    <row r="281" spans="4:4" x14ac:dyDescent="0.25">
      <c r="D281"/>
    </row>
    <row r="282" spans="4:4" x14ac:dyDescent="0.25">
      <c r="D282"/>
    </row>
    <row r="283" spans="4:4" x14ac:dyDescent="0.25">
      <c r="D283"/>
    </row>
    <row r="284" spans="4:4" x14ac:dyDescent="0.25">
      <c r="D284"/>
    </row>
    <row r="285" spans="4:4" x14ac:dyDescent="0.25">
      <c r="D285"/>
    </row>
    <row r="286" spans="4:4" x14ac:dyDescent="0.25">
      <c r="D286"/>
    </row>
    <row r="287" spans="4:4" x14ac:dyDescent="0.25">
      <c r="D287"/>
    </row>
    <row r="288" spans="4:4" x14ac:dyDescent="0.25">
      <c r="D288"/>
    </row>
    <row r="289" spans="4:4" x14ac:dyDescent="0.25">
      <c r="D289"/>
    </row>
    <row r="290" spans="4:4" x14ac:dyDescent="0.25">
      <c r="D290"/>
    </row>
    <row r="291" spans="4:4" x14ac:dyDescent="0.25">
      <c r="D291"/>
    </row>
    <row r="292" spans="4:4" x14ac:dyDescent="0.25">
      <c r="D292"/>
    </row>
    <row r="293" spans="4:4" x14ac:dyDescent="0.25">
      <c r="D293"/>
    </row>
    <row r="294" spans="4:4" x14ac:dyDescent="0.25">
      <c r="D294"/>
    </row>
    <row r="295" spans="4:4" x14ac:dyDescent="0.25">
      <c r="D295"/>
    </row>
    <row r="296" spans="4:4" x14ac:dyDescent="0.25">
      <c r="D296"/>
    </row>
    <row r="297" spans="4:4" x14ac:dyDescent="0.25">
      <c r="D297"/>
    </row>
    <row r="298" spans="4:4" x14ac:dyDescent="0.25">
      <c r="D298"/>
    </row>
    <row r="299" spans="4:4" x14ac:dyDescent="0.25">
      <c r="D299"/>
    </row>
    <row r="300" spans="4:4" x14ac:dyDescent="0.25">
      <c r="D300"/>
    </row>
    <row r="301" spans="4:4" x14ac:dyDescent="0.25">
      <c r="D301"/>
    </row>
    <row r="302" spans="4:4" x14ac:dyDescent="0.25">
      <c r="D302"/>
    </row>
    <row r="303" spans="4:4" x14ac:dyDescent="0.25">
      <c r="D303"/>
    </row>
    <row r="304" spans="4:4" x14ac:dyDescent="0.25">
      <c r="D304"/>
    </row>
    <row r="305" spans="4:4" x14ac:dyDescent="0.25">
      <c r="D305"/>
    </row>
    <row r="306" spans="4:4" x14ac:dyDescent="0.25">
      <c r="D306"/>
    </row>
    <row r="307" spans="4:4" x14ac:dyDescent="0.25">
      <c r="D307"/>
    </row>
    <row r="308" spans="4:4" x14ac:dyDescent="0.25">
      <c r="D308"/>
    </row>
    <row r="309" spans="4:4" x14ac:dyDescent="0.25">
      <c r="D309"/>
    </row>
    <row r="310" spans="4:4" x14ac:dyDescent="0.25">
      <c r="D310"/>
    </row>
    <row r="311" spans="4:4" x14ac:dyDescent="0.25">
      <c r="D311"/>
    </row>
    <row r="312" spans="4:4" x14ac:dyDescent="0.25">
      <c r="D312"/>
    </row>
    <row r="313" spans="4:4" x14ac:dyDescent="0.25">
      <c r="D313"/>
    </row>
    <row r="314" spans="4:4" x14ac:dyDescent="0.25">
      <c r="D314"/>
    </row>
    <row r="315" spans="4:4" x14ac:dyDescent="0.25">
      <c r="D315"/>
    </row>
    <row r="316" spans="4:4" x14ac:dyDescent="0.25">
      <c r="D316"/>
    </row>
    <row r="317" spans="4:4" x14ac:dyDescent="0.25">
      <c r="D317"/>
    </row>
    <row r="318" spans="4:4" x14ac:dyDescent="0.25">
      <c r="D318"/>
    </row>
    <row r="319" spans="4:4" x14ac:dyDescent="0.25">
      <c r="D319"/>
    </row>
    <row r="320" spans="4:4" x14ac:dyDescent="0.25">
      <c r="D320"/>
    </row>
    <row r="321" spans="4:4" x14ac:dyDescent="0.25">
      <c r="D321"/>
    </row>
    <row r="322" spans="4:4" x14ac:dyDescent="0.25">
      <c r="D322"/>
    </row>
    <row r="323" spans="4:4" x14ac:dyDescent="0.25">
      <c r="D323"/>
    </row>
    <row r="324" spans="4:4" x14ac:dyDescent="0.25">
      <c r="D324"/>
    </row>
    <row r="325" spans="4:4" x14ac:dyDescent="0.25">
      <c r="D325"/>
    </row>
    <row r="326" spans="4:4" x14ac:dyDescent="0.25">
      <c r="D326"/>
    </row>
    <row r="327" spans="4:4" x14ac:dyDescent="0.25">
      <c r="D327"/>
    </row>
    <row r="328" spans="4:4" x14ac:dyDescent="0.25">
      <c r="D328"/>
    </row>
    <row r="329" spans="4:4" x14ac:dyDescent="0.25">
      <c r="D329"/>
    </row>
    <row r="330" spans="4:4" x14ac:dyDescent="0.25">
      <c r="D330"/>
    </row>
    <row r="331" spans="4:4" x14ac:dyDescent="0.25">
      <c r="D331"/>
    </row>
    <row r="332" spans="4:4" x14ac:dyDescent="0.25">
      <c r="D332"/>
    </row>
    <row r="333" spans="4:4" x14ac:dyDescent="0.25">
      <c r="D333"/>
    </row>
    <row r="334" spans="4:4" x14ac:dyDescent="0.25">
      <c r="D334"/>
    </row>
    <row r="335" spans="4:4" x14ac:dyDescent="0.25">
      <c r="D335"/>
    </row>
    <row r="336" spans="4:4" x14ac:dyDescent="0.25">
      <c r="D336"/>
    </row>
    <row r="337" spans="4:4" x14ac:dyDescent="0.25">
      <c r="D337"/>
    </row>
    <row r="338" spans="4:4" x14ac:dyDescent="0.25">
      <c r="D338"/>
    </row>
    <row r="339" spans="4:4" x14ac:dyDescent="0.25">
      <c r="D339"/>
    </row>
    <row r="340" spans="4:4" x14ac:dyDescent="0.25">
      <c r="D340"/>
    </row>
    <row r="341" spans="4:4" x14ac:dyDescent="0.25">
      <c r="D341"/>
    </row>
    <row r="342" spans="4:4" x14ac:dyDescent="0.25">
      <c r="D342"/>
    </row>
    <row r="343" spans="4:4" x14ac:dyDescent="0.25">
      <c r="D343"/>
    </row>
    <row r="344" spans="4:4" x14ac:dyDescent="0.25">
      <c r="D344"/>
    </row>
    <row r="345" spans="4:4" x14ac:dyDescent="0.25">
      <c r="D345"/>
    </row>
    <row r="346" spans="4:4" x14ac:dyDescent="0.25">
      <c r="D346"/>
    </row>
    <row r="347" spans="4:4" x14ac:dyDescent="0.25">
      <c r="D347"/>
    </row>
    <row r="348" spans="4:4" x14ac:dyDescent="0.25">
      <c r="D348"/>
    </row>
    <row r="349" spans="4:4" x14ac:dyDescent="0.25">
      <c r="D349"/>
    </row>
    <row r="350" spans="4:4" x14ac:dyDescent="0.25">
      <c r="D350"/>
    </row>
    <row r="351" spans="4:4" x14ac:dyDescent="0.25">
      <c r="D351"/>
    </row>
    <row r="352" spans="4:4" x14ac:dyDescent="0.25">
      <c r="D352"/>
    </row>
    <row r="353" spans="4:4" x14ac:dyDescent="0.25">
      <c r="D353"/>
    </row>
    <row r="354" spans="4:4" x14ac:dyDescent="0.25">
      <c r="D354"/>
    </row>
    <row r="355" spans="4:4" x14ac:dyDescent="0.25">
      <c r="D355"/>
    </row>
    <row r="356" spans="4:4" x14ac:dyDescent="0.25">
      <c r="D356"/>
    </row>
    <row r="357" spans="4:4" x14ac:dyDescent="0.25">
      <c r="D357"/>
    </row>
    <row r="358" spans="4:4" x14ac:dyDescent="0.25">
      <c r="D358"/>
    </row>
    <row r="359" spans="4:4" x14ac:dyDescent="0.25">
      <c r="D359"/>
    </row>
    <row r="360" spans="4:4" x14ac:dyDescent="0.25">
      <c r="D360"/>
    </row>
    <row r="361" spans="4:4" x14ac:dyDescent="0.25">
      <c r="D361"/>
    </row>
    <row r="362" spans="4:4" x14ac:dyDescent="0.25">
      <c r="D362"/>
    </row>
    <row r="363" spans="4:4" x14ac:dyDescent="0.25">
      <c r="D363"/>
    </row>
    <row r="364" spans="4:4" x14ac:dyDescent="0.25">
      <c r="D364"/>
    </row>
    <row r="365" spans="4:4" x14ac:dyDescent="0.25">
      <c r="D365"/>
    </row>
    <row r="366" spans="4:4" x14ac:dyDescent="0.25">
      <c r="D366"/>
    </row>
    <row r="367" spans="4:4" x14ac:dyDescent="0.25">
      <c r="D367"/>
    </row>
    <row r="368" spans="4:4" x14ac:dyDescent="0.25">
      <c r="D368"/>
    </row>
    <row r="369" spans="4:4" x14ac:dyDescent="0.25">
      <c r="D369"/>
    </row>
    <row r="370" spans="4:4" x14ac:dyDescent="0.25">
      <c r="D370"/>
    </row>
    <row r="371" spans="4:4" x14ac:dyDescent="0.25">
      <c r="D371"/>
    </row>
    <row r="372" spans="4:4" x14ac:dyDescent="0.25">
      <c r="D372"/>
    </row>
    <row r="373" spans="4:4" x14ac:dyDescent="0.25">
      <c r="D373"/>
    </row>
    <row r="374" spans="4:4" x14ac:dyDescent="0.25">
      <c r="D374"/>
    </row>
    <row r="375" spans="4:4" x14ac:dyDescent="0.25">
      <c r="D375"/>
    </row>
    <row r="376" spans="4:4" x14ac:dyDescent="0.25">
      <c r="D376"/>
    </row>
    <row r="377" spans="4:4" x14ac:dyDescent="0.25">
      <c r="D377"/>
    </row>
    <row r="378" spans="4:4" x14ac:dyDescent="0.25">
      <c r="D378"/>
    </row>
    <row r="379" spans="4:4" x14ac:dyDescent="0.25">
      <c r="D379"/>
    </row>
    <row r="380" spans="4:4" x14ac:dyDescent="0.25">
      <c r="D380"/>
    </row>
    <row r="381" spans="4:4" x14ac:dyDescent="0.25">
      <c r="D381"/>
    </row>
    <row r="382" spans="4:4" x14ac:dyDescent="0.25">
      <c r="D382"/>
    </row>
    <row r="383" spans="4:4" x14ac:dyDescent="0.25">
      <c r="D383"/>
    </row>
    <row r="384" spans="4:4" x14ac:dyDescent="0.25">
      <c r="D384"/>
    </row>
    <row r="385" spans="4:4" x14ac:dyDescent="0.25">
      <c r="D385"/>
    </row>
    <row r="386" spans="4:4" x14ac:dyDescent="0.25">
      <c r="D386"/>
    </row>
    <row r="387" spans="4:4" x14ac:dyDescent="0.25">
      <c r="D387"/>
    </row>
    <row r="388" spans="4:4" x14ac:dyDescent="0.25">
      <c r="D388"/>
    </row>
    <row r="389" spans="4:4" x14ac:dyDescent="0.25">
      <c r="D389"/>
    </row>
    <row r="390" spans="4:4" x14ac:dyDescent="0.25">
      <c r="D390"/>
    </row>
    <row r="391" spans="4:4" x14ac:dyDescent="0.25">
      <c r="D391"/>
    </row>
    <row r="392" spans="4:4" x14ac:dyDescent="0.25">
      <c r="D392"/>
    </row>
    <row r="393" spans="4:4" x14ac:dyDescent="0.25">
      <c r="D393"/>
    </row>
    <row r="394" spans="4:4" x14ac:dyDescent="0.25">
      <c r="D394"/>
    </row>
    <row r="395" spans="4:4" x14ac:dyDescent="0.25">
      <c r="D395"/>
    </row>
    <row r="396" spans="4:4" x14ac:dyDescent="0.25">
      <c r="D396"/>
    </row>
    <row r="397" spans="4:4" x14ac:dyDescent="0.25">
      <c r="D397"/>
    </row>
    <row r="398" spans="4:4" x14ac:dyDescent="0.25">
      <c r="D398"/>
    </row>
    <row r="399" spans="4:4" x14ac:dyDescent="0.25">
      <c r="D399"/>
    </row>
    <row r="400" spans="4:4" x14ac:dyDescent="0.25">
      <c r="D400"/>
    </row>
    <row r="401" spans="4:4" x14ac:dyDescent="0.25">
      <c r="D401"/>
    </row>
    <row r="402" spans="4:4" x14ac:dyDescent="0.25">
      <c r="D402"/>
    </row>
    <row r="403" spans="4:4" x14ac:dyDescent="0.25">
      <c r="D403"/>
    </row>
    <row r="404" spans="4:4" x14ac:dyDescent="0.25">
      <c r="D404"/>
    </row>
    <row r="405" spans="4:4" x14ac:dyDescent="0.25">
      <c r="D405"/>
    </row>
    <row r="406" spans="4:4" x14ac:dyDescent="0.25">
      <c r="D406"/>
    </row>
    <row r="407" spans="4:4" x14ac:dyDescent="0.25">
      <c r="D407"/>
    </row>
    <row r="408" spans="4:4" x14ac:dyDescent="0.25">
      <c r="D408"/>
    </row>
    <row r="409" spans="4:4" x14ac:dyDescent="0.25">
      <c r="D409"/>
    </row>
    <row r="410" spans="4:4" x14ac:dyDescent="0.25">
      <c r="D410"/>
    </row>
    <row r="411" spans="4:4" x14ac:dyDescent="0.25">
      <c r="D411"/>
    </row>
    <row r="412" spans="4:4" x14ac:dyDescent="0.25">
      <c r="D412"/>
    </row>
    <row r="413" spans="4:4" x14ac:dyDescent="0.25">
      <c r="D413"/>
    </row>
    <row r="414" spans="4:4" x14ac:dyDescent="0.25">
      <c r="D414"/>
    </row>
    <row r="415" spans="4:4" x14ac:dyDescent="0.25">
      <c r="D415"/>
    </row>
    <row r="416" spans="4:4" x14ac:dyDescent="0.25">
      <c r="D416"/>
    </row>
    <row r="417" spans="4:4" x14ac:dyDescent="0.25">
      <c r="D417"/>
    </row>
    <row r="418" spans="4:4" x14ac:dyDescent="0.25">
      <c r="D418"/>
    </row>
    <row r="419" spans="4:4" x14ac:dyDescent="0.25">
      <c r="D419"/>
    </row>
    <row r="420" spans="4:4" x14ac:dyDescent="0.25">
      <c r="D420"/>
    </row>
    <row r="421" spans="4:4" x14ac:dyDescent="0.25">
      <c r="D421"/>
    </row>
    <row r="422" spans="4:4" x14ac:dyDescent="0.25">
      <c r="D422"/>
    </row>
    <row r="423" spans="4:4" x14ac:dyDescent="0.25">
      <c r="D423"/>
    </row>
    <row r="424" spans="4:4" x14ac:dyDescent="0.25">
      <c r="D424"/>
    </row>
    <row r="425" spans="4:4" x14ac:dyDescent="0.25">
      <c r="D425"/>
    </row>
    <row r="426" spans="4:4" x14ac:dyDescent="0.25">
      <c r="D426"/>
    </row>
    <row r="427" spans="4:4" x14ac:dyDescent="0.25">
      <c r="D427"/>
    </row>
    <row r="428" spans="4:4" x14ac:dyDescent="0.25">
      <c r="D428"/>
    </row>
    <row r="429" spans="4:4" x14ac:dyDescent="0.25">
      <c r="D429"/>
    </row>
    <row r="430" spans="4:4" x14ac:dyDescent="0.25">
      <c r="D430"/>
    </row>
    <row r="431" spans="4:4" x14ac:dyDescent="0.25">
      <c r="D431"/>
    </row>
    <row r="432" spans="4:4" x14ac:dyDescent="0.25">
      <c r="D432"/>
    </row>
    <row r="433" spans="4:4" x14ac:dyDescent="0.25">
      <c r="D433"/>
    </row>
    <row r="434" spans="4:4" x14ac:dyDescent="0.25">
      <c r="D434"/>
    </row>
    <row r="435" spans="4:4" x14ac:dyDescent="0.25">
      <c r="D435"/>
    </row>
    <row r="436" spans="4:4" x14ac:dyDescent="0.25">
      <c r="D436"/>
    </row>
    <row r="437" spans="4:4" x14ac:dyDescent="0.25">
      <c r="D437"/>
    </row>
    <row r="438" spans="4:4" x14ac:dyDescent="0.25">
      <c r="D438"/>
    </row>
    <row r="439" spans="4:4" x14ac:dyDescent="0.25">
      <c r="D439"/>
    </row>
    <row r="440" spans="4:4" x14ac:dyDescent="0.25">
      <c r="D440"/>
    </row>
    <row r="441" spans="4:4" x14ac:dyDescent="0.25">
      <c r="D441"/>
    </row>
    <row r="442" spans="4:4" x14ac:dyDescent="0.25">
      <c r="D442"/>
    </row>
    <row r="443" spans="4:4" x14ac:dyDescent="0.25">
      <c r="D443"/>
    </row>
    <row r="444" spans="4:4" x14ac:dyDescent="0.25">
      <c r="D444"/>
    </row>
    <row r="445" spans="4:4" x14ac:dyDescent="0.25">
      <c r="D445"/>
    </row>
    <row r="446" spans="4:4" x14ac:dyDescent="0.25">
      <c r="D446"/>
    </row>
    <row r="447" spans="4:4" x14ac:dyDescent="0.25">
      <c r="D447"/>
    </row>
    <row r="448" spans="4:4" x14ac:dyDescent="0.25">
      <c r="D448"/>
    </row>
    <row r="449" spans="4:4" x14ac:dyDescent="0.25">
      <c r="D449"/>
    </row>
    <row r="450" spans="4:4" x14ac:dyDescent="0.25">
      <c r="D450"/>
    </row>
    <row r="451" spans="4:4" x14ac:dyDescent="0.25">
      <c r="D451"/>
    </row>
    <row r="452" spans="4:4" x14ac:dyDescent="0.25">
      <c r="D452"/>
    </row>
    <row r="453" spans="4:4" x14ac:dyDescent="0.25">
      <c r="D453"/>
    </row>
    <row r="454" spans="4:4" x14ac:dyDescent="0.25">
      <c r="D454"/>
    </row>
    <row r="455" spans="4:4" x14ac:dyDescent="0.25">
      <c r="D455"/>
    </row>
    <row r="456" spans="4:4" x14ac:dyDescent="0.25">
      <c r="D456"/>
    </row>
    <row r="457" spans="4:4" x14ac:dyDescent="0.25">
      <c r="D457"/>
    </row>
    <row r="458" spans="4:4" x14ac:dyDescent="0.25">
      <c r="D458"/>
    </row>
    <row r="459" spans="4:4" x14ac:dyDescent="0.25">
      <c r="D459"/>
    </row>
    <row r="460" spans="4:4" x14ac:dyDescent="0.25">
      <c r="D460"/>
    </row>
    <row r="461" spans="4:4" x14ac:dyDescent="0.25">
      <c r="D461"/>
    </row>
    <row r="462" spans="4:4" x14ac:dyDescent="0.25">
      <c r="D462"/>
    </row>
    <row r="463" spans="4:4" x14ac:dyDescent="0.25">
      <c r="D463"/>
    </row>
    <row r="464" spans="4:4" x14ac:dyDescent="0.25">
      <c r="D464"/>
    </row>
    <row r="465" spans="4:4" x14ac:dyDescent="0.25">
      <c r="D465"/>
    </row>
    <row r="466" spans="4:4" x14ac:dyDescent="0.25">
      <c r="D466"/>
    </row>
    <row r="467" spans="4:4" x14ac:dyDescent="0.25">
      <c r="D467"/>
    </row>
    <row r="468" spans="4:4" x14ac:dyDescent="0.25">
      <c r="D468"/>
    </row>
    <row r="469" spans="4:4" x14ac:dyDescent="0.25">
      <c r="D469"/>
    </row>
    <row r="470" spans="4:4" x14ac:dyDescent="0.25">
      <c r="D470"/>
    </row>
    <row r="471" spans="4:4" x14ac:dyDescent="0.25">
      <c r="D471"/>
    </row>
    <row r="472" spans="4:4" x14ac:dyDescent="0.25">
      <c r="D472"/>
    </row>
    <row r="473" spans="4:4" x14ac:dyDescent="0.25">
      <c r="D473"/>
    </row>
    <row r="474" spans="4:4" x14ac:dyDescent="0.25">
      <c r="D474"/>
    </row>
    <row r="475" spans="4:4" x14ac:dyDescent="0.25">
      <c r="D475"/>
    </row>
    <row r="476" spans="4:4" x14ac:dyDescent="0.25">
      <c r="D476"/>
    </row>
    <row r="477" spans="4:4" x14ac:dyDescent="0.25">
      <c r="D477"/>
    </row>
    <row r="478" spans="4:4" x14ac:dyDescent="0.25">
      <c r="D478"/>
    </row>
    <row r="479" spans="4:4" x14ac:dyDescent="0.25">
      <c r="D479"/>
    </row>
    <row r="480" spans="4:4" x14ac:dyDescent="0.25">
      <c r="D480"/>
    </row>
    <row r="481" spans="4:4" x14ac:dyDescent="0.25">
      <c r="D481"/>
    </row>
    <row r="482" spans="4:4" x14ac:dyDescent="0.25">
      <c r="D482"/>
    </row>
    <row r="483" spans="4:4" x14ac:dyDescent="0.25">
      <c r="D483"/>
    </row>
    <row r="484" spans="4:4" x14ac:dyDescent="0.25">
      <c r="D484"/>
    </row>
    <row r="485" spans="4:4" x14ac:dyDescent="0.25">
      <c r="D485"/>
    </row>
    <row r="486" spans="4:4" x14ac:dyDescent="0.25">
      <c r="D486"/>
    </row>
    <row r="487" spans="4:4" x14ac:dyDescent="0.25">
      <c r="D487"/>
    </row>
    <row r="488" spans="4:4" x14ac:dyDescent="0.25">
      <c r="D488"/>
    </row>
    <row r="489" spans="4:4" x14ac:dyDescent="0.25">
      <c r="D489"/>
    </row>
    <row r="490" spans="4:4" x14ac:dyDescent="0.25">
      <c r="D490"/>
    </row>
    <row r="491" spans="4:4" x14ac:dyDescent="0.25">
      <c r="D491"/>
    </row>
    <row r="492" spans="4:4" x14ac:dyDescent="0.25">
      <c r="D492"/>
    </row>
    <row r="493" spans="4:4" x14ac:dyDescent="0.25">
      <c r="D493"/>
    </row>
    <row r="494" spans="4:4" x14ac:dyDescent="0.25">
      <c r="D494"/>
    </row>
    <row r="495" spans="4:4" x14ac:dyDescent="0.25">
      <c r="D495"/>
    </row>
    <row r="496" spans="4:4" x14ac:dyDescent="0.25">
      <c r="D496"/>
    </row>
    <row r="497" spans="4:4" x14ac:dyDescent="0.25">
      <c r="D497"/>
    </row>
    <row r="498" spans="4:4" x14ac:dyDescent="0.25">
      <c r="D498"/>
    </row>
    <row r="499" spans="4:4" x14ac:dyDescent="0.25">
      <c r="D499"/>
    </row>
    <row r="500" spans="4:4" x14ac:dyDescent="0.25">
      <c r="D500"/>
    </row>
    <row r="501" spans="4:4" x14ac:dyDescent="0.25">
      <c r="D501"/>
    </row>
    <row r="502" spans="4:4" x14ac:dyDescent="0.25">
      <c r="D502"/>
    </row>
    <row r="503" spans="4:4" x14ac:dyDescent="0.25">
      <c r="D503"/>
    </row>
    <row r="504" spans="4:4" x14ac:dyDescent="0.25">
      <c r="D504"/>
    </row>
    <row r="505" spans="4:4" x14ac:dyDescent="0.25">
      <c r="D505"/>
    </row>
    <row r="506" spans="4:4" x14ac:dyDescent="0.25">
      <c r="D506"/>
    </row>
    <row r="507" spans="4:4" x14ac:dyDescent="0.25">
      <c r="D507"/>
    </row>
    <row r="508" spans="4:4" x14ac:dyDescent="0.25">
      <c r="D508"/>
    </row>
    <row r="509" spans="4:4" x14ac:dyDescent="0.25">
      <c r="D509"/>
    </row>
    <row r="510" spans="4:4" x14ac:dyDescent="0.25">
      <c r="D510"/>
    </row>
    <row r="511" spans="4:4" x14ac:dyDescent="0.25">
      <c r="D511"/>
    </row>
    <row r="512" spans="4:4" x14ac:dyDescent="0.25">
      <c r="D512"/>
    </row>
    <row r="513" spans="4:4" x14ac:dyDescent="0.25">
      <c r="D513"/>
    </row>
    <row r="514" spans="4:4" x14ac:dyDescent="0.25">
      <c r="D514"/>
    </row>
    <row r="515" spans="4:4" x14ac:dyDescent="0.25">
      <c r="D515"/>
    </row>
    <row r="516" spans="4:4" x14ac:dyDescent="0.25">
      <c r="D516"/>
    </row>
    <row r="517" spans="4:4" x14ac:dyDescent="0.25">
      <c r="D517"/>
    </row>
    <row r="518" spans="4:4" x14ac:dyDescent="0.25">
      <c r="D518"/>
    </row>
    <row r="519" spans="4:4" x14ac:dyDescent="0.25">
      <c r="D519"/>
    </row>
    <row r="520" spans="4:4" x14ac:dyDescent="0.25">
      <c r="D520"/>
    </row>
    <row r="521" spans="4:4" x14ac:dyDescent="0.25">
      <c r="D521"/>
    </row>
    <row r="522" spans="4:4" x14ac:dyDescent="0.25">
      <c r="D522"/>
    </row>
    <row r="523" spans="4:4" x14ac:dyDescent="0.25">
      <c r="D523"/>
    </row>
    <row r="524" spans="4:4" x14ac:dyDescent="0.25">
      <c r="D524"/>
    </row>
    <row r="525" spans="4:4" x14ac:dyDescent="0.25">
      <c r="D525"/>
    </row>
    <row r="526" spans="4:4" x14ac:dyDescent="0.25">
      <c r="D526"/>
    </row>
    <row r="527" spans="4:4" x14ac:dyDescent="0.25">
      <c r="D527"/>
    </row>
    <row r="528" spans="4:4" x14ac:dyDescent="0.25">
      <c r="D528"/>
    </row>
    <row r="529" spans="4:4" x14ac:dyDescent="0.25">
      <c r="D529"/>
    </row>
    <row r="530" spans="4:4" x14ac:dyDescent="0.25">
      <c r="D530"/>
    </row>
    <row r="531" spans="4:4" x14ac:dyDescent="0.25">
      <c r="D531"/>
    </row>
    <row r="532" spans="4:4" x14ac:dyDescent="0.25">
      <c r="D532"/>
    </row>
    <row r="533" spans="4:4" x14ac:dyDescent="0.25">
      <c r="D533"/>
    </row>
    <row r="534" spans="4:4" x14ac:dyDescent="0.25">
      <c r="D534"/>
    </row>
    <row r="535" spans="4:4" x14ac:dyDescent="0.25">
      <c r="D535"/>
    </row>
    <row r="536" spans="4:4" x14ac:dyDescent="0.25">
      <c r="D536"/>
    </row>
    <row r="537" spans="4:4" x14ac:dyDescent="0.25">
      <c r="D537"/>
    </row>
    <row r="538" spans="4:4" x14ac:dyDescent="0.25">
      <c r="D538"/>
    </row>
    <row r="539" spans="4:4" x14ac:dyDescent="0.25">
      <c r="D539"/>
    </row>
    <row r="540" spans="4:4" x14ac:dyDescent="0.25">
      <c r="D540"/>
    </row>
    <row r="541" spans="4:4" x14ac:dyDescent="0.25">
      <c r="D541"/>
    </row>
    <row r="542" spans="4:4" x14ac:dyDescent="0.25">
      <c r="D542"/>
    </row>
    <row r="543" spans="4:4" x14ac:dyDescent="0.25">
      <c r="D543"/>
    </row>
    <row r="544" spans="4:4" x14ac:dyDescent="0.25">
      <c r="D544"/>
    </row>
    <row r="545" spans="4:4" x14ac:dyDescent="0.25">
      <c r="D545"/>
    </row>
    <row r="546" spans="4:4" x14ac:dyDescent="0.25">
      <c r="D546"/>
    </row>
    <row r="547" spans="4:4" x14ac:dyDescent="0.25">
      <c r="D547"/>
    </row>
    <row r="548" spans="4:4" x14ac:dyDescent="0.25">
      <c r="D548"/>
    </row>
    <row r="549" spans="4:4" x14ac:dyDescent="0.25">
      <c r="D549"/>
    </row>
    <row r="550" spans="4:4" x14ac:dyDescent="0.25">
      <c r="D550"/>
    </row>
    <row r="551" spans="4:4" x14ac:dyDescent="0.25">
      <c r="D551"/>
    </row>
    <row r="552" spans="4:4" x14ac:dyDescent="0.25">
      <c r="D552"/>
    </row>
    <row r="553" spans="4:4" x14ac:dyDescent="0.25">
      <c r="D553"/>
    </row>
    <row r="554" spans="4:4" x14ac:dyDescent="0.25">
      <c r="D554"/>
    </row>
    <row r="555" spans="4:4" x14ac:dyDescent="0.25">
      <c r="D555"/>
    </row>
    <row r="556" spans="4:4" x14ac:dyDescent="0.25">
      <c r="D556"/>
    </row>
    <row r="557" spans="4:4" x14ac:dyDescent="0.25">
      <c r="D557"/>
    </row>
    <row r="558" spans="4:4" x14ac:dyDescent="0.25">
      <c r="D558"/>
    </row>
    <row r="559" spans="4:4" x14ac:dyDescent="0.25">
      <c r="D559"/>
    </row>
    <row r="560" spans="4:4" x14ac:dyDescent="0.25">
      <c r="D560"/>
    </row>
    <row r="561" spans="4:4" x14ac:dyDescent="0.25">
      <c r="D561"/>
    </row>
    <row r="562" spans="4:4" x14ac:dyDescent="0.25">
      <c r="D562"/>
    </row>
    <row r="563" spans="4:4" x14ac:dyDescent="0.25">
      <c r="D563"/>
    </row>
    <row r="564" spans="4:4" x14ac:dyDescent="0.25">
      <c r="D564"/>
    </row>
    <row r="565" spans="4:4" x14ac:dyDescent="0.25">
      <c r="D565"/>
    </row>
    <row r="566" spans="4:4" x14ac:dyDescent="0.25">
      <c r="D566"/>
    </row>
    <row r="567" spans="4:4" x14ac:dyDescent="0.25">
      <c r="D567"/>
    </row>
    <row r="568" spans="4:4" x14ac:dyDescent="0.25">
      <c r="D568"/>
    </row>
    <row r="569" spans="4:4" x14ac:dyDescent="0.25">
      <c r="D569"/>
    </row>
    <row r="570" spans="4:4" x14ac:dyDescent="0.25">
      <c r="D570"/>
    </row>
    <row r="571" spans="4:4" x14ac:dyDescent="0.25">
      <c r="D571"/>
    </row>
    <row r="572" spans="4:4" x14ac:dyDescent="0.25">
      <c r="D572"/>
    </row>
    <row r="573" spans="4:4" x14ac:dyDescent="0.25">
      <c r="D573"/>
    </row>
    <row r="574" spans="4:4" x14ac:dyDescent="0.25">
      <c r="D574"/>
    </row>
    <row r="575" spans="4:4" x14ac:dyDescent="0.25">
      <c r="D575"/>
    </row>
    <row r="576" spans="4:4" x14ac:dyDescent="0.25">
      <c r="D576"/>
    </row>
    <row r="577" spans="4:4" x14ac:dyDescent="0.25">
      <c r="D577"/>
    </row>
    <row r="578" spans="4:4" x14ac:dyDescent="0.25">
      <c r="D578"/>
    </row>
    <row r="579" spans="4:4" x14ac:dyDescent="0.25">
      <c r="D579"/>
    </row>
    <row r="580" spans="4:4" x14ac:dyDescent="0.25">
      <c r="D580"/>
    </row>
    <row r="581" spans="4:4" x14ac:dyDescent="0.25">
      <c r="D581"/>
    </row>
    <row r="582" spans="4:4" x14ac:dyDescent="0.25">
      <c r="D582"/>
    </row>
    <row r="583" spans="4:4" x14ac:dyDescent="0.25">
      <c r="D583"/>
    </row>
    <row r="584" spans="4:4" x14ac:dyDescent="0.25">
      <c r="D584"/>
    </row>
    <row r="585" spans="4:4" x14ac:dyDescent="0.25">
      <c r="D585"/>
    </row>
    <row r="586" spans="4:4" x14ac:dyDescent="0.25">
      <c r="D586"/>
    </row>
    <row r="587" spans="4:4" x14ac:dyDescent="0.25">
      <c r="D587"/>
    </row>
    <row r="588" spans="4:4" x14ac:dyDescent="0.25">
      <c r="D588"/>
    </row>
    <row r="589" spans="4:4" x14ac:dyDescent="0.25">
      <c r="D589"/>
    </row>
    <row r="590" spans="4:4" x14ac:dyDescent="0.25">
      <c r="D590"/>
    </row>
    <row r="591" spans="4:4" x14ac:dyDescent="0.25">
      <c r="D591"/>
    </row>
    <row r="592" spans="4:4" x14ac:dyDescent="0.25">
      <c r="D592"/>
    </row>
    <row r="593" spans="4:4" x14ac:dyDescent="0.25">
      <c r="D593"/>
    </row>
    <row r="594" spans="4:4" x14ac:dyDescent="0.25">
      <c r="D594"/>
    </row>
    <row r="595" spans="4:4" x14ac:dyDescent="0.25">
      <c r="D595"/>
    </row>
    <row r="596" spans="4:4" x14ac:dyDescent="0.25">
      <c r="D596"/>
    </row>
    <row r="597" spans="4:4" x14ac:dyDescent="0.25">
      <c r="D597"/>
    </row>
    <row r="598" spans="4:4" x14ac:dyDescent="0.25">
      <c r="D598"/>
    </row>
    <row r="599" spans="4:4" x14ac:dyDescent="0.25">
      <c r="D599"/>
    </row>
    <row r="600" spans="4:4" x14ac:dyDescent="0.25">
      <c r="D600"/>
    </row>
    <row r="601" spans="4:4" x14ac:dyDescent="0.25">
      <c r="D601"/>
    </row>
    <row r="602" spans="4:4" x14ac:dyDescent="0.25">
      <c r="D602"/>
    </row>
    <row r="603" spans="4:4" x14ac:dyDescent="0.25">
      <c r="D603"/>
    </row>
    <row r="604" spans="4:4" x14ac:dyDescent="0.25">
      <c r="D604"/>
    </row>
    <row r="605" spans="4:4" x14ac:dyDescent="0.25">
      <c r="D605"/>
    </row>
    <row r="606" spans="4:4" x14ac:dyDescent="0.25">
      <c r="D606"/>
    </row>
    <row r="607" spans="4:4" x14ac:dyDescent="0.25">
      <c r="D607"/>
    </row>
    <row r="608" spans="4:4" x14ac:dyDescent="0.25">
      <c r="D608"/>
    </row>
    <row r="609" spans="4:4" x14ac:dyDescent="0.25">
      <c r="D609"/>
    </row>
    <row r="610" spans="4:4" x14ac:dyDescent="0.25">
      <c r="D610"/>
    </row>
    <row r="611" spans="4:4" x14ac:dyDescent="0.25">
      <c r="D611"/>
    </row>
    <row r="612" spans="4:4" x14ac:dyDescent="0.25">
      <c r="D612"/>
    </row>
    <row r="613" spans="4:4" x14ac:dyDescent="0.25">
      <c r="D613"/>
    </row>
    <row r="614" spans="4:4" x14ac:dyDescent="0.25">
      <c r="D614"/>
    </row>
    <row r="615" spans="4:4" x14ac:dyDescent="0.25">
      <c r="D615"/>
    </row>
    <row r="616" spans="4:4" x14ac:dyDescent="0.25">
      <c r="D616"/>
    </row>
    <row r="617" spans="4:4" x14ac:dyDescent="0.25">
      <c r="D617"/>
    </row>
    <row r="618" spans="4:4" x14ac:dyDescent="0.25">
      <c r="D618"/>
    </row>
    <row r="619" spans="4:4" x14ac:dyDescent="0.25">
      <c r="D619"/>
    </row>
    <row r="620" spans="4:4" x14ac:dyDescent="0.25">
      <c r="D620"/>
    </row>
    <row r="621" spans="4:4" x14ac:dyDescent="0.25">
      <c r="D621"/>
    </row>
    <row r="622" spans="4:4" x14ac:dyDescent="0.25">
      <c r="D622"/>
    </row>
    <row r="623" spans="4:4" x14ac:dyDescent="0.25">
      <c r="D623"/>
    </row>
    <row r="624" spans="4:4" x14ac:dyDescent="0.25">
      <c r="D624"/>
    </row>
    <row r="625" spans="4:4" x14ac:dyDescent="0.25">
      <c r="D625"/>
    </row>
    <row r="626" spans="4:4" x14ac:dyDescent="0.25">
      <c r="D626"/>
    </row>
    <row r="627" spans="4:4" x14ac:dyDescent="0.25">
      <c r="D627"/>
    </row>
    <row r="628" spans="4:4" x14ac:dyDescent="0.25">
      <c r="D628"/>
    </row>
    <row r="629" spans="4:4" x14ac:dyDescent="0.25">
      <c r="D629"/>
    </row>
    <row r="630" spans="4:4" x14ac:dyDescent="0.25">
      <c r="D630"/>
    </row>
    <row r="631" spans="4:4" x14ac:dyDescent="0.25">
      <c r="D631"/>
    </row>
    <row r="632" spans="4:4" x14ac:dyDescent="0.25">
      <c r="D632"/>
    </row>
    <row r="633" spans="4:4" x14ac:dyDescent="0.25">
      <c r="D633"/>
    </row>
    <row r="634" spans="4:4" x14ac:dyDescent="0.25">
      <c r="D634"/>
    </row>
    <row r="635" spans="4:4" x14ac:dyDescent="0.25">
      <c r="D635"/>
    </row>
    <row r="636" spans="4:4" x14ac:dyDescent="0.25">
      <c r="D636"/>
    </row>
    <row r="637" spans="4:4" x14ac:dyDescent="0.25">
      <c r="D637"/>
    </row>
    <row r="638" spans="4:4" x14ac:dyDescent="0.25">
      <c r="D638"/>
    </row>
    <row r="639" spans="4:4" x14ac:dyDescent="0.25">
      <c r="D639"/>
    </row>
    <row r="640" spans="4:4" x14ac:dyDescent="0.25">
      <c r="D640"/>
    </row>
    <row r="641" spans="4:4" x14ac:dyDescent="0.25">
      <c r="D641"/>
    </row>
    <row r="642" spans="4:4" x14ac:dyDescent="0.25">
      <c r="D642"/>
    </row>
    <row r="643" spans="4:4" x14ac:dyDescent="0.25">
      <c r="D643"/>
    </row>
    <row r="644" spans="4:4" x14ac:dyDescent="0.25">
      <c r="D644"/>
    </row>
    <row r="645" spans="4:4" x14ac:dyDescent="0.25">
      <c r="D645"/>
    </row>
    <row r="646" spans="4:4" x14ac:dyDescent="0.25">
      <c r="D646"/>
    </row>
    <row r="647" spans="4:4" x14ac:dyDescent="0.25">
      <c r="D647"/>
    </row>
    <row r="648" spans="4:4" x14ac:dyDescent="0.25">
      <c r="D648"/>
    </row>
    <row r="649" spans="4:4" x14ac:dyDescent="0.25">
      <c r="D649"/>
    </row>
    <row r="650" spans="4:4" x14ac:dyDescent="0.25">
      <c r="D650"/>
    </row>
    <row r="651" spans="4:4" x14ac:dyDescent="0.25">
      <c r="D651"/>
    </row>
    <row r="652" spans="4:4" x14ac:dyDescent="0.25">
      <c r="D652"/>
    </row>
    <row r="653" spans="4:4" x14ac:dyDescent="0.25">
      <c r="D653"/>
    </row>
    <row r="654" spans="4:4" x14ac:dyDescent="0.25">
      <c r="D654"/>
    </row>
    <row r="655" spans="4:4" x14ac:dyDescent="0.25">
      <c r="D655"/>
    </row>
    <row r="656" spans="4:4" x14ac:dyDescent="0.25">
      <c r="D656"/>
    </row>
    <row r="657" spans="4:4" x14ac:dyDescent="0.25">
      <c r="D657"/>
    </row>
    <row r="658" spans="4:4" x14ac:dyDescent="0.25">
      <c r="D658"/>
    </row>
    <row r="659" spans="4:4" x14ac:dyDescent="0.25">
      <c r="D659"/>
    </row>
    <row r="660" spans="4:4" x14ac:dyDescent="0.25">
      <c r="D660"/>
    </row>
    <row r="661" spans="4:4" x14ac:dyDescent="0.25">
      <c r="D661"/>
    </row>
    <row r="662" spans="4:4" x14ac:dyDescent="0.25">
      <c r="D662"/>
    </row>
    <row r="663" spans="4:4" x14ac:dyDescent="0.25">
      <c r="D663"/>
    </row>
    <row r="664" spans="4:4" x14ac:dyDescent="0.25">
      <c r="D664"/>
    </row>
    <row r="665" spans="4:4" x14ac:dyDescent="0.25">
      <c r="D665"/>
    </row>
    <row r="666" spans="4:4" x14ac:dyDescent="0.25">
      <c r="D666"/>
    </row>
    <row r="667" spans="4:4" x14ac:dyDescent="0.25">
      <c r="D667"/>
    </row>
    <row r="668" spans="4:4" x14ac:dyDescent="0.25">
      <c r="D668"/>
    </row>
    <row r="669" spans="4:4" x14ac:dyDescent="0.25">
      <c r="D669"/>
    </row>
    <row r="670" spans="4:4" x14ac:dyDescent="0.25">
      <c r="D670"/>
    </row>
    <row r="671" spans="4:4" x14ac:dyDescent="0.25">
      <c r="D671"/>
    </row>
    <row r="672" spans="4:4" x14ac:dyDescent="0.25">
      <c r="D672"/>
    </row>
    <row r="673" spans="4:4" x14ac:dyDescent="0.25">
      <c r="D673"/>
    </row>
    <row r="674" spans="4:4" x14ac:dyDescent="0.25">
      <c r="D674"/>
    </row>
    <row r="675" spans="4:4" x14ac:dyDescent="0.25">
      <c r="D675"/>
    </row>
    <row r="676" spans="4:4" x14ac:dyDescent="0.25">
      <c r="D676"/>
    </row>
    <row r="677" spans="4:4" x14ac:dyDescent="0.25">
      <c r="D677"/>
    </row>
    <row r="678" spans="4:4" x14ac:dyDescent="0.25">
      <c r="D678"/>
    </row>
    <row r="679" spans="4:4" x14ac:dyDescent="0.25">
      <c r="D679"/>
    </row>
    <row r="680" spans="4:4" x14ac:dyDescent="0.25">
      <c r="D680"/>
    </row>
    <row r="681" spans="4:4" x14ac:dyDescent="0.25">
      <c r="D681"/>
    </row>
    <row r="682" spans="4:4" x14ac:dyDescent="0.25">
      <c r="D682"/>
    </row>
    <row r="683" spans="4:4" x14ac:dyDescent="0.25">
      <c r="D683"/>
    </row>
    <row r="684" spans="4:4" x14ac:dyDescent="0.25">
      <c r="D684"/>
    </row>
    <row r="685" spans="4:4" x14ac:dyDescent="0.25">
      <c r="D685"/>
    </row>
    <row r="686" spans="4:4" x14ac:dyDescent="0.25">
      <c r="D686"/>
    </row>
    <row r="687" spans="4:4" x14ac:dyDescent="0.25">
      <c r="D687"/>
    </row>
    <row r="688" spans="4:4" x14ac:dyDescent="0.25">
      <c r="D688"/>
    </row>
    <row r="689" spans="4:4" x14ac:dyDescent="0.25">
      <c r="D689"/>
    </row>
    <row r="690" spans="4:4" x14ac:dyDescent="0.25">
      <c r="D690"/>
    </row>
    <row r="691" spans="4:4" x14ac:dyDescent="0.25">
      <c r="D691"/>
    </row>
    <row r="692" spans="4:4" x14ac:dyDescent="0.25">
      <c r="D692"/>
    </row>
    <row r="693" spans="4:4" x14ac:dyDescent="0.25">
      <c r="D693"/>
    </row>
    <row r="694" spans="4:4" x14ac:dyDescent="0.25">
      <c r="D694"/>
    </row>
    <row r="695" spans="4:4" x14ac:dyDescent="0.25">
      <c r="D695"/>
    </row>
    <row r="696" spans="4:4" x14ac:dyDescent="0.25">
      <c r="D696"/>
    </row>
    <row r="697" spans="4:4" x14ac:dyDescent="0.25">
      <c r="D697"/>
    </row>
    <row r="698" spans="4:4" x14ac:dyDescent="0.25">
      <c r="D698"/>
    </row>
    <row r="699" spans="4:4" x14ac:dyDescent="0.25">
      <c r="D699"/>
    </row>
    <row r="700" spans="4:4" x14ac:dyDescent="0.25">
      <c r="D700"/>
    </row>
    <row r="701" spans="4:4" x14ac:dyDescent="0.25">
      <c r="D701"/>
    </row>
    <row r="702" spans="4:4" x14ac:dyDescent="0.25">
      <c r="D702"/>
    </row>
    <row r="703" spans="4:4" x14ac:dyDescent="0.25">
      <c r="D703"/>
    </row>
    <row r="704" spans="4:4" x14ac:dyDescent="0.25">
      <c r="D704"/>
    </row>
    <row r="705" spans="4:4" x14ac:dyDescent="0.25">
      <c r="D705"/>
    </row>
    <row r="706" spans="4:4" x14ac:dyDescent="0.25">
      <c r="D706"/>
    </row>
    <row r="707" spans="4:4" x14ac:dyDescent="0.25">
      <c r="D707"/>
    </row>
    <row r="708" spans="4:4" x14ac:dyDescent="0.25">
      <c r="D708"/>
    </row>
    <row r="709" spans="4:4" x14ac:dyDescent="0.25">
      <c r="D709"/>
    </row>
    <row r="710" spans="4:4" x14ac:dyDescent="0.25">
      <c r="D710"/>
    </row>
    <row r="711" spans="4:4" x14ac:dyDescent="0.25">
      <c r="D711"/>
    </row>
    <row r="712" spans="4:4" x14ac:dyDescent="0.25">
      <c r="D712"/>
    </row>
    <row r="713" spans="4:4" x14ac:dyDescent="0.25">
      <c r="D713"/>
    </row>
    <row r="714" spans="4:4" x14ac:dyDescent="0.25">
      <c r="D714"/>
    </row>
    <row r="715" spans="4:4" x14ac:dyDescent="0.25">
      <c r="D715"/>
    </row>
    <row r="716" spans="4:4" x14ac:dyDescent="0.25">
      <c r="D716"/>
    </row>
    <row r="717" spans="4:4" x14ac:dyDescent="0.25">
      <c r="D717"/>
    </row>
    <row r="718" spans="4:4" x14ac:dyDescent="0.25">
      <c r="D718"/>
    </row>
    <row r="719" spans="4:4" x14ac:dyDescent="0.25">
      <c r="D719"/>
    </row>
    <row r="720" spans="4:4" x14ac:dyDescent="0.25">
      <c r="D720"/>
    </row>
    <row r="721" spans="4:4" x14ac:dyDescent="0.25">
      <c r="D721"/>
    </row>
    <row r="722" spans="4:4" x14ac:dyDescent="0.25">
      <c r="D722"/>
    </row>
    <row r="723" spans="4:4" x14ac:dyDescent="0.25">
      <c r="D723"/>
    </row>
    <row r="724" spans="4:4" x14ac:dyDescent="0.25">
      <c r="D724"/>
    </row>
    <row r="725" spans="4:4" x14ac:dyDescent="0.25">
      <c r="D725"/>
    </row>
    <row r="726" spans="4:4" x14ac:dyDescent="0.25">
      <c r="D726"/>
    </row>
    <row r="727" spans="4:4" x14ac:dyDescent="0.25">
      <c r="D727"/>
    </row>
    <row r="728" spans="4:4" x14ac:dyDescent="0.25">
      <c r="D728"/>
    </row>
    <row r="729" spans="4:4" x14ac:dyDescent="0.25">
      <c r="D729"/>
    </row>
    <row r="730" spans="4:4" x14ac:dyDescent="0.25">
      <c r="D730"/>
    </row>
    <row r="731" spans="4:4" x14ac:dyDescent="0.25">
      <c r="D731"/>
    </row>
    <row r="732" spans="4:4" x14ac:dyDescent="0.25">
      <c r="D732"/>
    </row>
    <row r="733" spans="4:4" x14ac:dyDescent="0.25">
      <c r="D733"/>
    </row>
    <row r="734" spans="4:4" x14ac:dyDescent="0.25">
      <c r="D734"/>
    </row>
    <row r="735" spans="4:4" x14ac:dyDescent="0.25">
      <c r="D735"/>
    </row>
    <row r="736" spans="4:4" x14ac:dyDescent="0.25">
      <c r="D736"/>
    </row>
    <row r="737" spans="4:4" x14ac:dyDescent="0.25">
      <c r="D737"/>
    </row>
    <row r="738" spans="4:4" x14ac:dyDescent="0.25">
      <c r="D738"/>
    </row>
    <row r="739" spans="4:4" x14ac:dyDescent="0.25">
      <c r="D739"/>
    </row>
    <row r="740" spans="4:4" x14ac:dyDescent="0.25">
      <c r="D740"/>
    </row>
    <row r="741" spans="4:4" x14ac:dyDescent="0.25">
      <c r="D741"/>
    </row>
    <row r="742" spans="4:4" x14ac:dyDescent="0.25">
      <c r="D742"/>
    </row>
    <row r="743" spans="4:4" x14ac:dyDescent="0.25">
      <c r="D743"/>
    </row>
    <row r="744" spans="4:4" x14ac:dyDescent="0.25">
      <c r="D744"/>
    </row>
    <row r="745" spans="4:4" x14ac:dyDescent="0.25">
      <c r="D745"/>
    </row>
    <row r="746" spans="4:4" x14ac:dyDescent="0.25">
      <c r="D746"/>
    </row>
    <row r="747" spans="4:4" x14ac:dyDescent="0.25">
      <c r="D747"/>
    </row>
    <row r="748" spans="4:4" x14ac:dyDescent="0.25">
      <c r="D748"/>
    </row>
    <row r="749" spans="4:4" x14ac:dyDescent="0.25">
      <c r="D749"/>
    </row>
    <row r="750" spans="4:4" x14ac:dyDescent="0.25">
      <c r="D750"/>
    </row>
    <row r="751" spans="4:4" x14ac:dyDescent="0.25">
      <c r="D751"/>
    </row>
    <row r="752" spans="4:4" x14ac:dyDescent="0.25">
      <c r="D752"/>
    </row>
    <row r="753" spans="4:4" x14ac:dyDescent="0.25">
      <c r="D753"/>
    </row>
    <row r="754" spans="4:4" x14ac:dyDescent="0.25">
      <c r="D754"/>
    </row>
    <row r="755" spans="4:4" x14ac:dyDescent="0.25">
      <c r="D755"/>
    </row>
    <row r="756" spans="4:4" x14ac:dyDescent="0.25">
      <c r="D756"/>
    </row>
    <row r="757" spans="4:4" x14ac:dyDescent="0.25">
      <c r="D757"/>
    </row>
    <row r="758" spans="4:4" x14ac:dyDescent="0.25">
      <c r="D758"/>
    </row>
    <row r="759" spans="4:4" x14ac:dyDescent="0.25">
      <c r="D759"/>
    </row>
    <row r="760" spans="4:4" x14ac:dyDescent="0.25">
      <c r="D760"/>
    </row>
    <row r="761" spans="4:4" x14ac:dyDescent="0.25">
      <c r="D761"/>
    </row>
    <row r="762" spans="4:4" x14ac:dyDescent="0.25">
      <c r="D762"/>
    </row>
    <row r="763" spans="4:4" x14ac:dyDescent="0.25">
      <c r="D763"/>
    </row>
    <row r="764" spans="4:4" x14ac:dyDescent="0.25">
      <c r="D764"/>
    </row>
    <row r="765" spans="4:4" x14ac:dyDescent="0.25">
      <c r="D765"/>
    </row>
    <row r="766" spans="4:4" x14ac:dyDescent="0.25">
      <c r="D766"/>
    </row>
    <row r="767" spans="4:4" x14ac:dyDescent="0.25">
      <c r="D767"/>
    </row>
    <row r="768" spans="4:4" x14ac:dyDescent="0.25">
      <c r="D768"/>
    </row>
    <row r="769" spans="4:4" x14ac:dyDescent="0.25">
      <c r="D769"/>
    </row>
    <row r="770" spans="4:4" x14ac:dyDescent="0.25">
      <c r="D770"/>
    </row>
    <row r="771" spans="4:4" x14ac:dyDescent="0.25">
      <c r="D771"/>
    </row>
    <row r="772" spans="4:4" x14ac:dyDescent="0.25">
      <c r="D772"/>
    </row>
    <row r="773" spans="4:4" x14ac:dyDescent="0.25">
      <c r="D773"/>
    </row>
    <row r="774" spans="4:4" x14ac:dyDescent="0.25">
      <c r="D774"/>
    </row>
    <row r="775" spans="4:4" x14ac:dyDescent="0.25">
      <c r="D775"/>
    </row>
    <row r="776" spans="4:4" x14ac:dyDescent="0.25">
      <c r="D776"/>
    </row>
    <row r="777" spans="4:4" x14ac:dyDescent="0.25">
      <c r="D777"/>
    </row>
    <row r="778" spans="4:4" x14ac:dyDescent="0.25">
      <c r="D778"/>
    </row>
    <row r="779" spans="4:4" x14ac:dyDescent="0.25">
      <c r="D779"/>
    </row>
    <row r="780" spans="4:4" x14ac:dyDescent="0.25">
      <c r="D780"/>
    </row>
    <row r="781" spans="4:4" x14ac:dyDescent="0.25">
      <c r="D781"/>
    </row>
    <row r="782" spans="4:4" x14ac:dyDescent="0.25">
      <c r="D782"/>
    </row>
    <row r="783" spans="4:4" x14ac:dyDescent="0.25">
      <c r="D783"/>
    </row>
    <row r="784" spans="4:4" x14ac:dyDescent="0.25">
      <c r="D784"/>
    </row>
    <row r="785" spans="4:4" x14ac:dyDescent="0.25">
      <c r="D785"/>
    </row>
    <row r="786" spans="4:4" x14ac:dyDescent="0.25">
      <c r="D786"/>
    </row>
    <row r="787" spans="4:4" x14ac:dyDescent="0.25">
      <c r="D787"/>
    </row>
    <row r="788" spans="4:4" x14ac:dyDescent="0.25">
      <c r="D788"/>
    </row>
    <row r="789" spans="4:4" x14ac:dyDescent="0.25">
      <c r="D789"/>
    </row>
    <row r="790" spans="4:4" x14ac:dyDescent="0.25">
      <c r="D790"/>
    </row>
    <row r="791" spans="4:4" x14ac:dyDescent="0.25">
      <c r="D791"/>
    </row>
    <row r="792" spans="4:4" x14ac:dyDescent="0.25">
      <c r="D792"/>
    </row>
    <row r="793" spans="4:4" x14ac:dyDescent="0.25">
      <c r="D793"/>
    </row>
    <row r="794" spans="4:4" x14ac:dyDescent="0.25">
      <c r="D794"/>
    </row>
    <row r="795" spans="4:4" x14ac:dyDescent="0.25">
      <c r="D795"/>
    </row>
    <row r="796" spans="4:4" x14ac:dyDescent="0.25">
      <c r="D796"/>
    </row>
    <row r="797" spans="4:4" x14ac:dyDescent="0.25">
      <c r="D797"/>
    </row>
    <row r="798" spans="4:4" x14ac:dyDescent="0.25">
      <c r="D798"/>
    </row>
    <row r="799" spans="4:4" x14ac:dyDescent="0.25">
      <c r="D799"/>
    </row>
    <row r="800" spans="4:4" x14ac:dyDescent="0.25">
      <c r="D800"/>
    </row>
    <row r="801" spans="4:4" x14ac:dyDescent="0.25">
      <c r="D801"/>
    </row>
    <row r="802" spans="4:4" x14ac:dyDescent="0.25">
      <c r="D802"/>
    </row>
    <row r="803" spans="4:4" x14ac:dyDescent="0.25">
      <c r="D803"/>
    </row>
    <row r="804" spans="4:4" x14ac:dyDescent="0.25">
      <c r="D804"/>
    </row>
    <row r="805" spans="4:4" x14ac:dyDescent="0.25">
      <c r="D805"/>
    </row>
    <row r="806" spans="4:4" x14ac:dyDescent="0.25">
      <c r="D806"/>
    </row>
    <row r="807" spans="4:4" x14ac:dyDescent="0.25">
      <c r="D807"/>
    </row>
    <row r="808" spans="4:4" x14ac:dyDescent="0.25">
      <c r="D808"/>
    </row>
    <row r="809" spans="4:4" x14ac:dyDescent="0.25">
      <c r="D809"/>
    </row>
    <row r="810" spans="4:4" x14ac:dyDescent="0.25">
      <c r="D810"/>
    </row>
    <row r="811" spans="4:4" x14ac:dyDescent="0.25">
      <c r="D811"/>
    </row>
    <row r="812" spans="4:4" x14ac:dyDescent="0.25">
      <c r="D812"/>
    </row>
    <row r="813" spans="4:4" x14ac:dyDescent="0.25">
      <c r="D813"/>
    </row>
    <row r="814" spans="4:4" x14ac:dyDescent="0.25">
      <c r="D814"/>
    </row>
    <row r="815" spans="4:4" x14ac:dyDescent="0.25">
      <c r="D815"/>
    </row>
    <row r="816" spans="4:4" x14ac:dyDescent="0.25">
      <c r="D816"/>
    </row>
    <row r="817" spans="4:4" x14ac:dyDescent="0.25">
      <c r="D817"/>
    </row>
    <row r="818" spans="4:4" x14ac:dyDescent="0.25">
      <c r="D818"/>
    </row>
    <row r="819" spans="4:4" x14ac:dyDescent="0.25">
      <c r="D819"/>
    </row>
    <row r="820" spans="4:4" x14ac:dyDescent="0.25">
      <c r="D820"/>
    </row>
    <row r="821" spans="4:4" x14ac:dyDescent="0.25">
      <c r="D821"/>
    </row>
    <row r="822" spans="4:4" x14ac:dyDescent="0.25">
      <c r="D822"/>
    </row>
    <row r="823" spans="4:4" x14ac:dyDescent="0.25">
      <c r="D823"/>
    </row>
    <row r="824" spans="4:4" x14ac:dyDescent="0.25">
      <c r="D824"/>
    </row>
    <row r="825" spans="4:4" x14ac:dyDescent="0.25">
      <c r="D825"/>
    </row>
    <row r="826" spans="4:4" x14ac:dyDescent="0.25">
      <c r="D826"/>
    </row>
    <row r="827" spans="4:4" x14ac:dyDescent="0.25">
      <c r="D827"/>
    </row>
    <row r="828" spans="4:4" x14ac:dyDescent="0.25">
      <c r="D828"/>
    </row>
    <row r="829" spans="4:4" x14ac:dyDescent="0.25">
      <c r="D829"/>
    </row>
    <row r="830" spans="4:4" x14ac:dyDescent="0.25">
      <c r="D830"/>
    </row>
    <row r="831" spans="4:4" x14ac:dyDescent="0.25">
      <c r="D831"/>
    </row>
    <row r="832" spans="4:4" x14ac:dyDescent="0.25">
      <c r="D832"/>
    </row>
    <row r="833" spans="4:4" x14ac:dyDescent="0.25">
      <c r="D833"/>
    </row>
    <row r="834" spans="4:4" x14ac:dyDescent="0.25">
      <c r="D834"/>
    </row>
    <row r="835" spans="4:4" x14ac:dyDescent="0.25">
      <c r="D835"/>
    </row>
    <row r="836" spans="4:4" x14ac:dyDescent="0.25">
      <c r="D836"/>
    </row>
    <row r="837" spans="4:4" x14ac:dyDescent="0.25">
      <c r="D837"/>
    </row>
    <row r="838" spans="4:4" x14ac:dyDescent="0.25">
      <c r="D838"/>
    </row>
    <row r="839" spans="4:4" x14ac:dyDescent="0.25">
      <c r="D839"/>
    </row>
    <row r="840" spans="4:4" x14ac:dyDescent="0.25">
      <c r="D840"/>
    </row>
    <row r="841" spans="4:4" x14ac:dyDescent="0.25">
      <c r="D841"/>
    </row>
    <row r="842" spans="4:4" x14ac:dyDescent="0.25">
      <c r="D842"/>
    </row>
    <row r="843" spans="4:4" x14ac:dyDescent="0.25">
      <c r="D843"/>
    </row>
    <row r="844" spans="4:4" x14ac:dyDescent="0.25">
      <c r="D844"/>
    </row>
    <row r="845" spans="4:4" x14ac:dyDescent="0.25">
      <c r="D845"/>
    </row>
    <row r="846" spans="4:4" x14ac:dyDescent="0.25">
      <c r="D846"/>
    </row>
    <row r="847" spans="4:4" x14ac:dyDescent="0.25">
      <c r="D847"/>
    </row>
    <row r="848" spans="4:4" x14ac:dyDescent="0.25">
      <c r="D848"/>
    </row>
    <row r="849" spans="4:4" x14ac:dyDescent="0.25">
      <c r="D849"/>
    </row>
    <row r="850" spans="4:4" x14ac:dyDescent="0.25">
      <c r="D850"/>
    </row>
    <row r="851" spans="4:4" x14ac:dyDescent="0.25">
      <c r="D851"/>
    </row>
    <row r="852" spans="4:4" x14ac:dyDescent="0.25">
      <c r="D852"/>
    </row>
    <row r="853" spans="4:4" x14ac:dyDescent="0.25">
      <c r="D853"/>
    </row>
    <row r="854" spans="4:4" x14ac:dyDescent="0.25">
      <c r="D854"/>
    </row>
    <row r="855" spans="4:4" x14ac:dyDescent="0.25">
      <c r="D855"/>
    </row>
    <row r="856" spans="4:4" x14ac:dyDescent="0.25">
      <c r="D856"/>
    </row>
    <row r="857" spans="4:4" x14ac:dyDescent="0.25">
      <c r="D857"/>
    </row>
    <row r="858" spans="4:4" x14ac:dyDescent="0.25">
      <c r="D858"/>
    </row>
    <row r="859" spans="4:4" x14ac:dyDescent="0.25">
      <c r="D859"/>
    </row>
    <row r="860" spans="4:4" x14ac:dyDescent="0.25">
      <c r="D860"/>
    </row>
    <row r="861" spans="4:4" x14ac:dyDescent="0.25">
      <c r="D861"/>
    </row>
    <row r="862" spans="4:4" x14ac:dyDescent="0.25">
      <c r="D862"/>
    </row>
    <row r="863" spans="4:4" x14ac:dyDescent="0.25">
      <c r="D863"/>
    </row>
    <row r="864" spans="4:4" x14ac:dyDescent="0.25">
      <c r="D864"/>
    </row>
    <row r="865" spans="4:4" x14ac:dyDescent="0.25">
      <c r="D865"/>
    </row>
    <row r="866" spans="4:4" x14ac:dyDescent="0.25">
      <c r="D866"/>
    </row>
    <row r="867" spans="4:4" x14ac:dyDescent="0.25">
      <c r="D867"/>
    </row>
    <row r="868" spans="4:4" x14ac:dyDescent="0.25">
      <c r="D868"/>
    </row>
    <row r="869" spans="4:4" x14ac:dyDescent="0.25">
      <c r="D869"/>
    </row>
    <row r="870" spans="4:4" x14ac:dyDescent="0.25">
      <c r="D870"/>
    </row>
    <row r="871" spans="4:4" x14ac:dyDescent="0.25">
      <c r="D871"/>
    </row>
    <row r="872" spans="4:4" x14ac:dyDescent="0.25">
      <c r="D872"/>
    </row>
    <row r="873" spans="4:4" x14ac:dyDescent="0.25">
      <c r="D873"/>
    </row>
    <row r="874" spans="4:4" x14ac:dyDescent="0.25">
      <c r="D874"/>
    </row>
    <row r="875" spans="4:4" x14ac:dyDescent="0.25">
      <c r="D875"/>
    </row>
    <row r="876" spans="4:4" x14ac:dyDescent="0.25">
      <c r="D876"/>
    </row>
    <row r="877" spans="4:4" x14ac:dyDescent="0.25">
      <c r="D877"/>
    </row>
    <row r="878" spans="4:4" x14ac:dyDescent="0.25">
      <c r="D878"/>
    </row>
    <row r="879" spans="4:4" x14ac:dyDescent="0.25">
      <c r="D879"/>
    </row>
    <row r="880" spans="4:4" x14ac:dyDescent="0.25">
      <c r="D880"/>
    </row>
    <row r="881" spans="4:4" x14ac:dyDescent="0.25">
      <c r="D881"/>
    </row>
    <row r="882" spans="4:4" x14ac:dyDescent="0.25">
      <c r="D882"/>
    </row>
    <row r="883" spans="4:4" x14ac:dyDescent="0.25">
      <c r="D883"/>
    </row>
    <row r="884" spans="4:4" x14ac:dyDescent="0.25">
      <c r="D884"/>
    </row>
    <row r="885" spans="4:4" x14ac:dyDescent="0.25">
      <c r="D885"/>
    </row>
    <row r="886" spans="4:4" x14ac:dyDescent="0.25">
      <c r="D886"/>
    </row>
    <row r="887" spans="4:4" x14ac:dyDescent="0.25">
      <c r="D887"/>
    </row>
    <row r="888" spans="4:4" x14ac:dyDescent="0.25">
      <c r="D888"/>
    </row>
    <row r="889" spans="4:4" x14ac:dyDescent="0.25">
      <c r="D889"/>
    </row>
    <row r="890" spans="4:4" x14ac:dyDescent="0.25">
      <c r="D890"/>
    </row>
    <row r="891" spans="4:4" x14ac:dyDescent="0.25">
      <c r="D891"/>
    </row>
    <row r="892" spans="4:4" x14ac:dyDescent="0.25">
      <c r="D892"/>
    </row>
    <row r="893" spans="4:4" x14ac:dyDescent="0.25">
      <c r="D893"/>
    </row>
    <row r="894" spans="4:4" x14ac:dyDescent="0.25">
      <c r="D894"/>
    </row>
    <row r="895" spans="4:4" x14ac:dyDescent="0.25">
      <c r="D895"/>
    </row>
    <row r="896" spans="4:4" x14ac:dyDescent="0.25">
      <c r="D896"/>
    </row>
    <row r="897" spans="4:4" x14ac:dyDescent="0.25">
      <c r="D897"/>
    </row>
    <row r="898" spans="4:4" x14ac:dyDescent="0.25">
      <c r="D898"/>
    </row>
    <row r="899" spans="4:4" x14ac:dyDescent="0.25">
      <c r="D899"/>
    </row>
    <row r="900" spans="4:4" x14ac:dyDescent="0.25">
      <c r="D900"/>
    </row>
    <row r="901" spans="4:4" x14ac:dyDescent="0.25">
      <c r="D901"/>
    </row>
    <row r="902" spans="4:4" x14ac:dyDescent="0.25">
      <c r="D902"/>
    </row>
    <row r="903" spans="4:4" x14ac:dyDescent="0.25">
      <c r="D903"/>
    </row>
    <row r="904" spans="4:4" x14ac:dyDescent="0.25">
      <c r="D904"/>
    </row>
    <row r="905" spans="4:4" x14ac:dyDescent="0.25">
      <c r="D905"/>
    </row>
    <row r="906" spans="4:4" x14ac:dyDescent="0.25">
      <c r="D906"/>
    </row>
    <row r="907" spans="4:4" x14ac:dyDescent="0.25">
      <c r="D907"/>
    </row>
    <row r="908" spans="4:4" x14ac:dyDescent="0.25">
      <c r="D908"/>
    </row>
    <row r="909" spans="4:4" x14ac:dyDescent="0.25">
      <c r="D909"/>
    </row>
    <row r="910" spans="4:4" x14ac:dyDescent="0.25">
      <c r="D910"/>
    </row>
    <row r="911" spans="4:4" x14ac:dyDescent="0.25">
      <c r="D911"/>
    </row>
    <row r="912" spans="4:4" x14ac:dyDescent="0.25">
      <c r="D912"/>
    </row>
    <row r="913" spans="4:4" x14ac:dyDescent="0.25">
      <c r="D913"/>
    </row>
    <row r="914" spans="4:4" x14ac:dyDescent="0.25">
      <c r="D914"/>
    </row>
    <row r="915" spans="4:4" x14ac:dyDescent="0.25">
      <c r="D915"/>
    </row>
    <row r="916" spans="4:4" x14ac:dyDescent="0.25">
      <c r="D916"/>
    </row>
    <row r="917" spans="4:4" x14ac:dyDescent="0.25">
      <c r="D917"/>
    </row>
    <row r="918" spans="4:4" x14ac:dyDescent="0.25">
      <c r="D918"/>
    </row>
    <row r="919" spans="4:4" x14ac:dyDescent="0.25">
      <c r="D919"/>
    </row>
    <row r="920" spans="4:4" x14ac:dyDescent="0.25">
      <c r="D920"/>
    </row>
    <row r="921" spans="4:4" x14ac:dyDescent="0.25">
      <c r="D921"/>
    </row>
    <row r="922" spans="4:4" x14ac:dyDescent="0.25">
      <c r="D922"/>
    </row>
    <row r="923" spans="4:4" x14ac:dyDescent="0.25">
      <c r="D923"/>
    </row>
    <row r="924" spans="4:4" x14ac:dyDescent="0.25">
      <c r="D924"/>
    </row>
    <row r="925" spans="4:4" x14ac:dyDescent="0.25">
      <c r="D925"/>
    </row>
    <row r="926" spans="4:4" x14ac:dyDescent="0.25">
      <c r="D926"/>
    </row>
    <row r="927" spans="4:4" x14ac:dyDescent="0.25">
      <c r="D927"/>
    </row>
    <row r="928" spans="4:4" x14ac:dyDescent="0.25">
      <c r="D928"/>
    </row>
    <row r="929" spans="4:4" x14ac:dyDescent="0.25">
      <c r="D929"/>
    </row>
    <row r="930" spans="4:4" x14ac:dyDescent="0.25">
      <c r="D930"/>
    </row>
    <row r="931" spans="4:4" x14ac:dyDescent="0.25">
      <c r="D931"/>
    </row>
    <row r="932" spans="4:4" x14ac:dyDescent="0.25">
      <c r="D932"/>
    </row>
    <row r="933" spans="4:4" x14ac:dyDescent="0.25">
      <c r="D933"/>
    </row>
    <row r="934" spans="4:4" x14ac:dyDescent="0.25">
      <c r="D934"/>
    </row>
    <row r="935" spans="4:4" x14ac:dyDescent="0.25">
      <c r="D935"/>
    </row>
    <row r="936" spans="4:4" x14ac:dyDescent="0.25">
      <c r="D936"/>
    </row>
    <row r="937" spans="4:4" x14ac:dyDescent="0.25">
      <c r="D937"/>
    </row>
    <row r="938" spans="4:4" x14ac:dyDescent="0.25">
      <c r="D938"/>
    </row>
    <row r="939" spans="4:4" x14ac:dyDescent="0.25">
      <c r="D939"/>
    </row>
    <row r="940" spans="4:4" x14ac:dyDescent="0.25">
      <c r="D940"/>
    </row>
    <row r="941" spans="4:4" x14ac:dyDescent="0.25">
      <c r="D941"/>
    </row>
    <row r="942" spans="4:4" x14ac:dyDescent="0.25">
      <c r="D942"/>
    </row>
    <row r="943" spans="4:4" x14ac:dyDescent="0.25">
      <c r="D943"/>
    </row>
    <row r="944" spans="4:4" x14ac:dyDescent="0.25">
      <c r="D944"/>
    </row>
    <row r="945" spans="4:4" x14ac:dyDescent="0.25">
      <c r="D945"/>
    </row>
    <row r="946" spans="4:4" x14ac:dyDescent="0.25">
      <c r="D946"/>
    </row>
    <row r="947" spans="4:4" x14ac:dyDescent="0.25">
      <c r="D947"/>
    </row>
    <row r="948" spans="4:4" x14ac:dyDescent="0.25">
      <c r="D948"/>
    </row>
    <row r="949" spans="4:4" x14ac:dyDescent="0.25">
      <c r="D949"/>
    </row>
    <row r="950" spans="4:4" x14ac:dyDescent="0.25">
      <c r="D950"/>
    </row>
    <row r="951" spans="4:4" x14ac:dyDescent="0.25">
      <c r="D951"/>
    </row>
    <row r="952" spans="4:4" x14ac:dyDescent="0.25">
      <c r="D952"/>
    </row>
    <row r="953" spans="4:4" x14ac:dyDescent="0.25">
      <c r="D953"/>
    </row>
    <row r="954" spans="4:4" x14ac:dyDescent="0.25">
      <c r="D954"/>
    </row>
    <row r="955" spans="4:4" x14ac:dyDescent="0.25">
      <c r="D955"/>
    </row>
    <row r="956" spans="4:4" x14ac:dyDescent="0.25">
      <c r="D956"/>
    </row>
    <row r="957" spans="4:4" x14ac:dyDescent="0.25">
      <c r="D957"/>
    </row>
    <row r="958" spans="4:4" x14ac:dyDescent="0.25">
      <c r="D958"/>
    </row>
    <row r="959" spans="4:4" x14ac:dyDescent="0.25">
      <c r="D959"/>
    </row>
    <row r="960" spans="4:4" x14ac:dyDescent="0.25">
      <c r="D960"/>
    </row>
    <row r="961" spans="4:4" x14ac:dyDescent="0.25">
      <c r="D961"/>
    </row>
    <row r="962" spans="4:4" x14ac:dyDescent="0.25">
      <c r="D962"/>
    </row>
    <row r="963" spans="4:4" x14ac:dyDescent="0.25">
      <c r="D963"/>
    </row>
    <row r="964" spans="4:4" x14ac:dyDescent="0.25">
      <c r="D964"/>
    </row>
    <row r="965" spans="4:4" x14ac:dyDescent="0.25">
      <c r="D965"/>
    </row>
    <row r="966" spans="4:4" x14ac:dyDescent="0.25">
      <c r="D966"/>
    </row>
    <row r="967" spans="4:4" x14ac:dyDescent="0.25">
      <c r="D967"/>
    </row>
    <row r="968" spans="4:4" x14ac:dyDescent="0.25">
      <c r="D968"/>
    </row>
    <row r="969" spans="4:4" x14ac:dyDescent="0.25">
      <c r="D969"/>
    </row>
    <row r="970" spans="4:4" x14ac:dyDescent="0.25">
      <c r="D970"/>
    </row>
    <row r="971" spans="4:4" x14ac:dyDescent="0.25">
      <c r="D971"/>
    </row>
    <row r="972" spans="4:4" x14ac:dyDescent="0.25">
      <c r="D972"/>
    </row>
    <row r="973" spans="4:4" x14ac:dyDescent="0.25">
      <c r="D973"/>
    </row>
    <row r="974" spans="4:4" x14ac:dyDescent="0.25">
      <c r="D974"/>
    </row>
    <row r="975" spans="4:4" x14ac:dyDescent="0.25">
      <c r="D975"/>
    </row>
    <row r="976" spans="4:4" x14ac:dyDescent="0.25">
      <c r="D976"/>
    </row>
    <row r="977" spans="4:4" x14ac:dyDescent="0.25">
      <c r="D977"/>
    </row>
    <row r="978" spans="4:4" x14ac:dyDescent="0.25">
      <c r="D978"/>
    </row>
    <row r="979" spans="4:4" x14ac:dyDescent="0.25">
      <c r="D979"/>
    </row>
    <row r="980" spans="4:4" x14ac:dyDescent="0.25">
      <c r="D980"/>
    </row>
    <row r="981" spans="4:4" x14ac:dyDescent="0.25">
      <c r="D981"/>
    </row>
    <row r="982" spans="4:4" x14ac:dyDescent="0.25">
      <c r="D982"/>
    </row>
    <row r="983" spans="4:4" x14ac:dyDescent="0.25">
      <c r="D983"/>
    </row>
    <row r="984" spans="4:4" x14ac:dyDescent="0.25">
      <c r="D984"/>
    </row>
    <row r="985" spans="4:4" x14ac:dyDescent="0.25">
      <c r="D985"/>
    </row>
    <row r="986" spans="4:4" x14ac:dyDescent="0.25">
      <c r="D986"/>
    </row>
    <row r="987" spans="4:4" x14ac:dyDescent="0.25">
      <c r="D987"/>
    </row>
    <row r="988" spans="4:4" x14ac:dyDescent="0.25">
      <c r="D988"/>
    </row>
    <row r="989" spans="4:4" x14ac:dyDescent="0.25">
      <c r="D989"/>
    </row>
    <row r="990" spans="4:4" x14ac:dyDescent="0.25">
      <c r="D990"/>
    </row>
    <row r="991" spans="4:4" x14ac:dyDescent="0.25">
      <c r="D991"/>
    </row>
    <row r="992" spans="4:4" x14ac:dyDescent="0.25">
      <c r="D992"/>
    </row>
    <row r="993" spans="4:4" x14ac:dyDescent="0.25">
      <c r="D993"/>
    </row>
    <row r="994" spans="4:4" x14ac:dyDescent="0.25">
      <c r="D994"/>
    </row>
    <row r="995" spans="4:4" x14ac:dyDescent="0.25">
      <c r="D995"/>
    </row>
    <row r="996" spans="4:4" x14ac:dyDescent="0.25">
      <c r="D996"/>
    </row>
    <row r="997" spans="4:4" x14ac:dyDescent="0.25">
      <c r="D997"/>
    </row>
    <row r="998" spans="4:4" x14ac:dyDescent="0.25">
      <c r="D998"/>
    </row>
    <row r="999" spans="4:4" x14ac:dyDescent="0.25">
      <c r="D999"/>
    </row>
    <row r="1000" spans="4:4" x14ac:dyDescent="0.25">
      <c r="D1000"/>
    </row>
    <row r="1001" spans="4:4" x14ac:dyDescent="0.25">
      <c r="D1001"/>
    </row>
    <row r="1002" spans="4:4" x14ac:dyDescent="0.25">
      <c r="D1002"/>
    </row>
    <row r="1003" spans="4:4" x14ac:dyDescent="0.25">
      <c r="D1003"/>
    </row>
    <row r="1004" spans="4:4" x14ac:dyDescent="0.25">
      <c r="D1004"/>
    </row>
    <row r="1005" spans="4:4" x14ac:dyDescent="0.25">
      <c r="D1005"/>
    </row>
    <row r="1006" spans="4:4" x14ac:dyDescent="0.25">
      <c r="D1006"/>
    </row>
    <row r="1007" spans="4:4" x14ac:dyDescent="0.25">
      <c r="D1007"/>
    </row>
    <row r="1008" spans="4:4" x14ac:dyDescent="0.25">
      <c r="D1008"/>
    </row>
    <row r="1009" spans="4:4" x14ac:dyDescent="0.25">
      <c r="D1009"/>
    </row>
    <row r="1010" spans="4:4" x14ac:dyDescent="0.25">
      <c r="D1010"/>
    </row>
    <row r="1011" spans="4:4" x14ac:dyDescent="0.25">
      <c r="D1011"/>
    </row>
    <row r="1012" spans="4:4" x14ac:dyDescent="0.25">
      <c r="D1012"/>
    </row>
    <row r="1013" spans="4:4" x14ac:dyDescent="0.25">
      <c r="D1013"/>
    </row>
    <row r="1014" spans="4:4" x14ac:dyDescent="0.25">
      <c r="D1014"/>
    </row>
    <row r="1015" spans="4:4" x14ac:dyDescent="0.25">
      <c r="D1015"/>
    </row>
    <row r="1016" spans="4:4" x14ac:dyDescent="0.25">
      <c r="D1016"/>
    </row>
    <row r="1017" spans="4:4" x14ac:dyDescent="0.25">
      <c r="D1017"/>
    </row>
    <row r="1018" spans="4:4" x14ac:dyDescent="0.25">
      <c r="D1018"/>
    </row>
    <row r="1019" spans="4:4" x14ac:dyDescent="0.25">
      <c r="D1019"/>
    </row>
    <row r="1020" spans="4:4" x14ac:dyDescent="0.25">
      <c r="D1020"/>
    </row>
    <row r="1021" spans="4:4" x14ac:dyDescent="0.25">
      <c r="D1021"/>
    </row>
    <row r="1022" spans="4:4" x14ac:dyDescent="0.25">
      <c r="D1022"/>
    </row>
    <row r="1023" spans="4:4" x14ac:dyDescent="0.25">
      <c r="D1023"/>
    </row>
    <row r="1024" spans="4:4" x14ac:dyDescent="0.25">
      <c r="D1024"/>
    </row>
    <row r="1025" spans="4:4" x14ac:dyDescent="0.25">
      <c r="D1025"/>
    </row>
    <row r="1026" spans="4:4" x14ac:dyDescent="0.25">
      <c r="D1026"/>
    </row>
    <row r="1027" spans="4:4" x14ac:dyDescent="0.25">
      <c r="D1027"/>
    </row>
    <row r="1028" spans="4:4" x14ac:dyDescent="0.25">
      <c r="D1028"/>
    </row>
    <row r="1029" spans="4:4" x14ac:dyDescent="0.25">
      <c r="D1029"/>
    </row>
    <row r="1030" spans="4:4" x14ac:dyDescent="0.25">
      <c r="D1030"/>
    </row>
    <row r="1031" spans="4:4" x14ac:dyDescent="0.25">
      <c r="D1031"/>
    </row>
    <row r="1032" spans="4:4" x14ac:dyDescent="0.25">
      <c r="D1032"/>
    </row>
    <row r="1033" spans="4:4" x14ac:dyDescent="0.25">
      <c r="D1033"/>
    </row>
    <row r="1034" spans="4:4" x14ac:dyDescent="0.25">
      <c r="D1034"/>
    </row>
    <row r="1035" spans="4:4" x14ac:dyDescent="0.25">
      <c r="D1035"/>
    </row>
    <row r="1036" spans="4:4" x14ac:dyDescent="0.25">
      <c r="D1036"/>
    </row>
    <row r="1037" spans="4:4" x14ac:dyDescent="0.25">
      <c r="D1037"/>
    </row>
    <row r="1038" spans="4:4" x14ac:dyDescent="0.25">
      <c r="D1038"/>
    </row>
    <row r="1039" spans="4:4" x14ac:dyDescent="0.25">
      <c r="D1039"/>
    </row>
    <row r="1040" spans="4:4" x14ac:dyDescent="0.25">
      <c r="D1040"/>
    </row>
    <row r="1041" spans="4:4" x14ac:dyDescent="0.25">
      <c r="D1041"/>
    </row>
    <row r="1042" spans="4:4" x14ac:dyDescent="0.25">
      <c r="D1042"/>
    </row>
    <row r="1043" spans="4:4" x14ac:dyDescent="0.25">
      <c r="D1043"/>
    </row>
    <row r="1044" spans="4:4" x14ac:dyDescent="0.25">
      <c r="D1044"/>
    </row>
    <row r="1045" spans="4:4" x14ac:dyDescent="0.25">
      <c r="D1045"/>
    </row>
    <row r="1046" spans="4:4" x14ac:dyDescent="0.25">
      <c r="D1046"/>
    </row>
    <row r="1047" spans="4:4" x14ac:dyDescent="0.25">
      <c r="D1047"/>
    </row>
    <row r="1048" spans="4:4" x14ac:dyDescent="0.25">
      <c r="D1048"/>
    </row>
    <row r="1049" spans="4:4" x14ac:dyDescent="0.25">
      <c r="D1049"/>
    </row>
    <row r="1050" spans="4:4" x14ac:dyDescent="0.25">
      <c r="D1050"/>
    </row>
    <row r="1051" spans="4:4" x14ac:dyDescent="0.25">
      <c r="D1051"/>
    </row>
    <row r="1052" spans="4:4" x14ac:dyDescent="0.25">
      <c r="D1052"/>
    </row>
    <row r="1053" spans="4:4" x14ac:dyDescent="0.25">
      <c r="D1053"/>
    </row>
    <row r="1054" spans="4:4" x14ac:dyDescent="0.25">
      <c r="D1054"/>
    </row>
    <row r="1055" spans="4:4" x14ac:dyDescent="0.25">
      <c r="D1055"/>
    </row>
    <row r="1056" spans="4:4" x14ac:dyDescent="0.25">
      <c r="D1056"/>
    </row>
    <row r="1057" spans="4:4" x14ac:dyDescent="0.25">
      <c r="D1057"/>
    </row>
    <row r="1058" spans="4:4" x14ac:dyDescent="0.25">
      <c r="D1058"/>
    </row>
    <row r="1059" spans="4:4" x14ac:dyDescent="0.25">
      <c r="D1059"/>
    </row>
    <row r="1060" spans="4:4" x14ac:dyDescent="0.25">
      <c r="D1060"/>
    </row>
    <row r="1061" spans="4:4" x14ac:dyDescent="0.25">
      <c r="D1061"/>
    </row>
    <row r="1062" spans="4:4" x14ac:dyDescent="0.25">
      <c r="D1062"/>
    </row>
    <row r="1063" spans="4:4" x14ac:dyDescent="0.25">
      <c r="D1063"/>
    </row>
    <row r="1064" spans="4:4" x14ac:dyDescent="0.25">
      <c r="D1064"/>
    </row>
    <row r="1065" spans="4:4" x14ac:dyDescent="0.25">
      <c r="D1065"/>
    </row>
    <row r="1066" spans="4:4" x14ac:dyDescent="0.25">
      <c r="D1066"/>
    </row>
    <row r="1067" spans="4:4" x14ac:dyDescent="0.25">
      <c r="D1067"/>
    </row>
    <row r="1068" spans="4:4" x14ac:dyDescent="0.25">
      <c r="D1068"/>
    </row>
    <row r="1069" spans="4:4" x14ac:dyDescent="0.25">
      <c r="D1069"/>
    </row>
    <row r="1070" spans="4:4" x14ac:dyDescent="0.25">
      <c r="D1070"/>
    </row>
    <row r="1071" spans="4:4" x14ac:dyDescent="0.25">
      <c r="D1071"/>
    </row>
    <row r="1072" spans="4:4" x14ac:dyDescent="0.25">
      <c r="D1072"/>
    </row>
    <row r="1073" spans="4:4" x14ac:dyDescent="0.25">
      <c r="D1073"/>
    </row>
    <row r="1074" spans="4:4" x14ac:dyDescent="0.25">
      <c r="D1074"/>
    </row>
    <row r="1075" spans="4:4" x14ac:dyDescent="0.25">
      <c r="D1075"/>
    </row>
    <row r="1076" spans="4:4" x14ac:dyDescent="0.25">
      <c r="D1076"/>
    </row>
    <row r="1077" spans="4:4" x14ac:dyDescent="0.25">
      <c r="D1077"/>
    </row>
    <row r="1078" spans="4:4" x14ac:dyDescent="0.25">
      <c r="D1078"/>
    </row>
    <row r="1079" spans="4:4" x14ac:dyDescent="0.25">
      <c r="D1079"/>
    </row>
    <row r="1080" spans="4:4" x14ac:dyDescent="0.25">
      <c r="D1080"/>
    </row>
    <row r="1081" spans="4:4" x14ac:dyDescent="0.25">
      <c r="D1081"/>
    </row>
    <row r="1082" spans="4:4" x14ac:dyDescent="0.25">
      <c r="D1082"/>
    </row>
    <row r="1083" spans="4:4" x14ac:dyDescent="0.25">
      <c r="D1083"/>
    </row>
    <row r="1084" spans="4:4" x14ac:dyDescent="0.25">
      <c r="D1084"/>
    </row>
    <row r="1085" spans="4:4" x14ac:dyDescent="0.25">
      <c r="D1085"/>
    </row>
    <row r="1086" spans="4:4" x14ac:dyDescent="0.25">
      <c r="D1086"/>
    </row>
    <row r="1087" spans="4:4" x14ac:dyDescent="0.25">
      <c r="D1087"/>
    </row>
    <row r="1088" spans="4:4" x14ac:dyDescent="0.25">
      <c r="D1088"/>
    </row>
    <row r="1089" spans="4:4" x14ac:dyDescent="0.25">
      <c r="D1089"/>
    </row>
    <row r="1090" spans="4:4" x14ac:dyDescent="0.25">
      <c r="D1090"/>
    </row>
    <row r="1091" spans="4:4" x14ac:dyDescent="0.25">
      <c r="D1091"/>
    </row>
    <row r="1092" spans="4:4" x14ac:dyDescent="0.25">
      <c r="D1092"/>
    </row>
    <row r="1093" spans="4:4" x14ac:dyDescent="0.25">
      <c r="D1093"/>
    </row>
    <row r="1094" spans="4:4" x14ac:dyDescent="0.25">
      <c r="D1094"/>
    </row>
    <row r="1095" spans="4:4" x14ac:dyDescent="0.25">
      <c r="D1095"/>
    </row>
    <row r="1096" spans="4:4" x14ac:dyDescent="0.25">
      <c r="D1096"/>
    </row>
    <row r="1097" spans="4:4" x14ac:dyDescent="0.25">
      <c r="D1097"/>
    </row>
    <row r="1098" spans="4:4" x14ac:dyDescent="0.25">
      <c r="D1098"/>
    </row>
    <row r="1099" spans="4:4" x14ac:dyDescent="0.25">
      <c r="D1099"/>
    </row>
    <row r="1100" spans="4:4" x14ac:dyDescent="0.25">
      <c r="D1100"/>
    </row>
    <row r="1101" spans="4:4" x14ac:dyDescent="0.25">
      <c r="D1101"/>
    </row>
    <row r="1102" spans="4:4" x14ac:dyDescent="0.25">
      <c r="D1102"/>
    </row>
    <row r="1103" spans="4:4" x14ac:dyDescent="0.25">
      <c r="D1103"/>
    </row>
    <row r="1104" spans="4:4" x14ac:dyDescent="0.25">
      <c r="D1104"/>
    </row>
    <row r="1105" spans="4:4" x14ac:dyDescent="0.25">
      <c r="D1105"/>
    </row>
    <row r="1106" spans="4:4" x14ac:dyDescent="0.25">
      <c r="D1106"/>
    </row>
    <row r="1107" spans="4:4" x14ac:dyDescent="0.25">
      <c r="D1107"/>
    </row>
    <row r="1108" spans="4:4" x14ac:dyDescent="0.25">
      <c r="D1108"/>
    </row>
    <row r="1109" spans="4:4" x14ac:dyDescent="0.25">
      <c r="D1109"/>
    </row>
    <row r="1110" spans="4:4" x14ac:dyDescent="0.25">
      <c r="D1110"/>
    </row>
    <row r="1111" spans="4:4" x14ac:dyDescent="0.25">
      <c r="D1111"/>
    </row>
    <row r="1112" spans="4:4" x14ac:dyDescent="0.25">
      <c r="D1112"/>
    </row>
    <row r="1113" spans="4:4" x14ac:dyDescent="0.25">
      <c r="D1113"/>
    </row>
    <row r="1114" spans="4:4" x14ac:dyDescent="0.25">
      <c r="D1114"/>
    </row>
    <row r="1115" spans="4:4" x14ac:dyDescent="0.25">
      <c r="D1115"/>
    </row>
    <row r="1116" spans="4:4" x14ac:dyDescent="0.25">
      <c r="D1116"/>
    </row>
    <row r="1117" spans="4:4" x14ac:dyDescent="0.25">
      <c r="D1117"/>
    </row>
    <row r="1118" spans="4:4" x14ac:dyDescent="0.25">
      <c r="D1118"/>
    </row>
    <row r="1119" spans="4:4" x14ac:dyDescent="0.25">
      <c r="D1119"/>
    </row>
    <row r="1120" spans="4:4" x14ac:dyDescent="0.25">
      <c r="D1120"/>
    </row>
    <row r="1121" spans="4:4" x14ac:dyDescent="0.25">
      <c r="D1121"/>
    </row>
    <row r="1122" spans="4:4" x14ac:dyDescent="0.25">
      <c r="D1122"/>
    </row>
    <row r="1123" spans="4:4" x14ac:dyDescent="0.25">
      <c r="D1123"/>
    </row>
    <row r="1124" spans="4:4" x14ac:dyDescent="0.25">
      <c r="D1124"/>
    </row>
    <row r="1125" spans="4:4" x14ac:dyDescent="0.25">
      <c r="D1125"/>
    </row>
    <row r="1126" spans="4:4" x14ac:dyDescent="0.25">
      <c r="D1126"/>
    </row>
    <row r="1127" spans="4:4" x14ac:dyDescent="0.25">
      <c r="D1127"/>
    </row>
    <row r="1128" spans="4:4" x14ac:dyDescent="0.25">
      <c r="D1128"/>
    </row>
    <row r="1129" spans="4:4" x14ac:dyDescent="0.25">
      <c r="D1129"/>
    </row>
    <row r="1130" spans="4:4" x14ac:dyDescent="0.25">
      <c r="D1130"/>
    </row>
    <row r="1131" spans="4:4" x14ac:dyDescent="0.25">
      <c r="D1131"/>
    </row>
    <row r="1132" spans="4:4" x14ac:dyDescent="0.25">
      <c r="D1132"/>
    </row>
    <row r="1133" spans="4:4" x14ac:dyDescent="0.25">
      <c r="D1133"/>
    </row>
    <row r="1134" spans="4:4" x14ac:dyDescent="0.25">
      <c r="D1134"/>
    </row>
    <row r="1135" spans="4:4" x14ac:dyDescent="0.25">
      <c r="D1135"/>
    </row>
    <row r="1136" spans="4:4" x14ac:dyDescent="0.25">
      <c r="D1136"/>
    </row>
    <row r="1137" spans="4:4" x14ac:dyDescent="0.25">
      <c r="D1137"/>
    </row>
    <row r="1138" spans="4:4" x14ac:dyDescent="0.25">
      <c r="D1138"/>
    </row>
    <row r="1139" spans="4:4" x14ac:dyDescent="0.25">
      <c r="D1139"/>
    </row>
    <row r="1140" spans="4:4" x14ac:dyDescent="0.25">
      <c r="D1140"/>
    </row>
    <row r="1141" spans="4:4" x14ac:dyDescent="0.25">
      <c r="D1141"/>
    </row>
    <row r="1142" spans="4:4" x14ac:dyDescent="0.25">
      <c r="D1142"/>
    </row>
    <row r="1143" spans="4:4" x14ac:dyDescent="0.25">
      <c r="D1143"/>
    </row>
    <row r="1144" spans="4:4" x14ac:dyDescent="0.25">
      <c r="D1144"/>
    </row>
    <row r="1145" spans="4:4" x14ac:dyDescent="0.25">
      <c r="D1145"/>
    </row>
    <row r="1146" spans="4:4" x14ac:dyDescent="0.25">
      <c r="D1146"/>
    </row>
    <row r="1147" spans="4:4" x14ac:dyDescent="0.25">
      <c r="D1147"/>
    </row>
    <row r="1148" spans="4:4" x14ac:dyDescent="0.25">
      <c r="D1148"/>
    </row>
    <row r="1149" spans="4:4" x14ac:dyDescent="0.25">
      <c r="D1149"/>
    </row>
    <row r="1150" spans="4:4" x14ac:dyDescent="0.25">
      <c r="D1150"/>
    </row>
    <row r="1151" spans="4:4" x14ac:dyDescent="0.25">
      <c r="D1151"/>
    </row>
    <row r="1152" spans="4:4" x14ac:dyDescent="0.25">
      <c r="D1152"/>
    </row>
    <row r="1153" spans="4:4" x14ac:dyDescent="0.25">
      <c r="D1153"/>
    </row>
    <row r="1154" spans="4:4" x14ac:dyDescent="0.25">
      <c r="D1154"/>
    </row>
    <row r="1155" spans="4:4" x14ac:dyDescent="0.25">
      <c r="D1155"/>
    </row>
    <row r="1156" spans="4:4" x14ac:dyDescent="0.25">
      <c r="D1156"/>
    </row>
    <row r="1157" spans="4:4" x14ac:dyDescent="0.25">
      <c r="D1157"/>
    </row>
    <row r="1158" spans="4:4" x14ac:dyDescent="0.25">
      <c r="D1158"/>
    </row>
    <row r="1159" spans="4:4" x14ac:dyDescent="0.25">
      <c r="D1159"/>
    </row>
    <row r="1160" spans="4:4" x14ac:dyDescent="0.25">
      <c r="D1160"/>
    </row>
    <row r="1161" spans="4:4" x14ac:dyDescent="0.25">
      <c r="D1161"/>
    </row>
    <row r="1162" spans="4:4" x14ac:dyDescent="0.25">
      <c r="D1162"/>
    </row>
    <row r="1163" spans="4:4" x14ac:dyDescent="0.25">
      <c r="D1163"/>
    </row>
    <row r="1164" spans="4:4" x14ac:dyDescent="0.25">
      <c r="D1164"/>
    </row>
    <row r="1165" spans="4:4" x14ac:dyDescent="0.25">
      <c r="D1165"/>
    </row>
    <row r="1166" spans="4:4" x14ac:dyDescent="0.25">
      <c r="D1166"/>
    </row>
    <row r="1167" spans="4:4" x14ac:dyDescent="0.25">
      <c r="D1167"/>
    </row>
    <row r="1168" spans="4:4" x14ac:dyDescent="0.25">
      <c r="D1168"/>
    </row>
    <row r="1169" spans="4:4" x14ac:dyDescent="0.25">
      <c r="D1169"/>
    </row>
    <row r="1170" spans="4:4" x14ac:dyDescent="0.25">
      <c r="D1170"/>
    </row>
    <row r="1171" spans="4:4" x14ac:dyDescent="0.25">
      <c r="D1171"/>
    </row>
    <row r="1172" spans="4:4" x14ac:dyDescent="0.25">
      <c r="D1172"/>
    </row>
    <row r="1173" spans="4:4" x14ac:dyDescent="0.25">
      <c r="D1173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8126D-0776-4623-BF32-5CB1142D5EF6}">
  <sheetPr codeName="Sheet4"/>
  <dimension ref="B1:K303"/>
  <sheetViews>
    <sheetView workbookViewId="0">
      <selection activeCell="M5" sqref="M5"/>
    </sheetView>
  </sheetViews>
  <sheetFormatPr defaultRowHeight="15" x14ac:dyDescent="0.25"/>
  <cols>
    <col min="5" max="5" width="11" customWidth="1"/>
    <col min="6" max="6" width="15" bestFit="1" customWidth="1"/>
    <col min="7" max="7" width="11.28515625" bestFit="1" customWidth="1"/>
    <col min="11" max="11" width="9.140625" customWidth="1"/>
  </cols>
  <sheetData>
    <row r="1" spans="2:11" x14ac:dyDescent="0.25">
      <c r="B1" t="s">
        <v>25</v>
      </c>
      <c r="C1" t="s">
        <v>127</v>
      </c>
      <c r="D1" t="s">
        <v>0</v>
      </c>
      <c r="E1" t="s">
        <v>128</v>
      </c>
      <c r="F1" t="s">
        <v>130</v>
      </c>
      <c r="G1" t="s">
        <v>129</v>
      </c>
      <c r="H1" t="s">
        <v>127</v>
      </c>
      <c r="I1" t="s">
        <v>0</v>
      </c>
      <c r="J1" t="s">
        <v>128</v>
      </c>
    </row>
    <row r="2" spans="2:11" x14ac:dyDescent="0.25">
      <c r="B2">
        <v>0</v>
      </c>
      <c r="C2">
        <v>250</v>
      </c>
      <c r="D2">
        <v>250</v>
      </c>
      <c r="E2" s="24">
        <v>250</v>
      </c>
      <c r="F2" t="s">
        <v>103</v>
      </c>
      <c r="G2" s="25">
        <f>IF('Extract Recipe Builder'!C5&gt;30,30.1,ROUND('Extract Recipe Builder'!C5,1))</f>
        <v>4.4000000000000004</v>
      </c>
      <c r="H2">
        <f>VLOOKUP($G$2,Table4[],2,FALSE)</f>
        <v>231</v>
      </c>
      <c r="I2">
        <f>VLOOKUP($G$2,Table4[],3,FALSE)</f>
        <v>220</v>
      </c>
      <c r="J2">
        <f>VLOOKUP($G$2,Table4[],4,FALSE)</f>
        <v>48</v>
      </c>
      <c r="K2" s="77" t="str">
        <f>myRGB(H2,I2,J2)</f>
        <v/>
      </c>
    </row>
    <row r="3" spans="2:11" x14ac:dyDescent="0.25">
      <c r="B3" s="24">
        <v>0.1</v>
      </c>
      <c r="C3">
        <v>250</v>
      </c>
      <c r="D3">
        <v>250</v>
      </c>
      <c r="E3" s="24">
        <v>210</v>
      </c>
      <c r="F3" t="s">
        <v>131</v>
      </c>
      <c r="G3" t="s">
        <v>130</v>
      </c>
    </row>
    <row r="4" spans="2:11" x14ac:dyDescent="0.25">
      <c r="B4" s="24">
        <v>0.2</v>
      </c>
      <c r="C4">
        <v>250</v>
      </c>
      <c r="D4">
        <v>250</v>
      </c>
      <c r="E4" s="24">
        <v>204</v>
      </c>
      <c r="F4" t="s">
        <v>131</v>
      </c>
      <c r="G4" t="str">
        <f>VLOOKUP($G$2,Table4[],5,FALSE)</f>
        <v>Pale Gold</v>
      </c>
    </row>
    <row r="5" spans="2:11" x14ac:dyDescent="0.25">
      <c r="B5" s="24">
        <v>0.3</v>
      </c>
      <c r="C5">
        <v>250</v>
      </c>
      <c r="D5">
        <v>250</v>
      </c>
      <c r="E5" s="24">
        <v>199</v>
      </c>
      <c r="F5" t="s">
        <v>131</v>
      </c>
    </row>
    <row r="6" spans="2:11" x14ac:dyDescent="0.25">
      <c r="B6" s="24">
        <v>0.4</v>
      </c>
      <c r="C6">
        <v>250</v>
      </c>
      <c r="D6">
        <v>250</v>
      </c>
      <c r="E6" s="24">
        <v>193</v>
      </c>
      <c r="F6" t="s">
        <v>131</v>
      </c>
    </row>
    <row r="7" spans="2:11" x14ac:dyDescent="0.25">
      <c r="B7" s="24">
        <v>0.5</v>
      </c>
      <c r="C7">
        <v>250</v>
      </c>
      <c r="D7">
        <v>250</v>
      </c>
      <c r="E7" s="24">
        <v>188</v>
      </c>
      <c r="F7" t="s">
        <v>131</v>
      </c>
    </row>
    <row r="8" spans="2:11" x14ac:dyDescent="0.25">
      <c r="B8" s="24">
        <v>0.6</v>
      </c>
      <c r="C8">
        <v>250</v>
      </c>
      <c r="D8">
        <v>250</v>
      </c>
      <c r="E8" s="24">
        <v>182</v>
      </c>
      <c r="F8" t="s">
        <v>131</v>
      </c>
    </row>
    <row r="9" spans="2:11" x14ac:dyDescent="0.25">
      <c r="B9" s="24">
        <v>0.7</v>
      </c>
      <c r="C9">
        <v>250</v>
      </c>
      <c r="D9">
        <v>250</v>
      </c>
      <c r="E9" s="24">
        <v>177</v>
      </c>
      <c r="F9" t="s">
        <v>131</v>
      </c>
    </row>
    <row r="10" spans="2:11" x14ac:dyDescent="0.25">
      <c r="B10" s="24">
        <v>0.8</v>
      </c>
      <c r="C10">
        <v>250</v>
      </c>
      <c r="D10">
        <v>250</v>
      </c>
      <c r="E10" s="24">
        <v>171</v>
      </c>
      <c r="F10" t="s">
        <v>131</v>
      </c>
    </row>
    <row r="11" spans="2:11" x14ac:dyDescent="0.25">
      <c r="B11" s="24">
        <v>0.9</v>
      </c>
      <c r="C11">
        <v>250</v>
      </c>
      <c r="D11">
        <v>250</v>
      </c>
      <c r="E11" s="24">
        <v>166</v>
      </c>
      <c r="F11" t="s">
        <v>131</v>
      </c>
    </row>
    <row r="12" spans="2:11" x14ac:dyDescent="0.25">
      <c r="B12" s="24">
        <v>1</v>
      </c>
      <c r="C12">
        <v>250</v>
      </c>
      <c r="D12">
        <v>250</v>
      </c>
      <c r="E12" s="24">
        <v>160</v>
      </c>
      <c r="F12" t="s">
        <v>131</v>
      </c>
    </row>
    <row r="13" spans="2:11" x14ac:dyDescent="0.25">
      <c r="B13" s="24">
        <v>1.1000000000000001</v>
      </c>
      <c r="C13">
        <v>250</v>
      </c>
      <c r="D13">
        <v>250</v>
      </c>
      <c r="E13" s="24">
        <v>155</v>
      </c>
      <c r="F13" t="s">
        <v>131</v>
      </c>
    </row>
    <row r="14" spans="2:11" x14ac:dyDescent="0.25">
      <c r="B14" s="24">
        <v>1.2</v>
      </c>
      <c r="C14">
        <v>250</v>
      </c>
      <c r="D14">
        <v>250</v>
      </c>
      <c r="E14" s="24">
        <v>149</v>
      </c>
      <c r="F14" t="s">
        <v>131</v>
      </c>
    </row>
    <row r="15" spans="2:11" x14ac:dyDescent="0.25">
      <c r="B15" s="24">
        <v>1.3</v>
      </c>
      <c r="C15">
        <v>250</v>
      </c>
      <c r="D15">
        <v>250</v>
      </c>
      <c r="E15" s="24">
        <v>144</v>
      </c>
      <c r="F15" t="s">
        <v>131</v>
      </c>
    </row>
    <row r="16" spans="2:11" x14ac:dyDescent="0.25">
      <c r="B16" s="24">
        <v>1.4</v>
      </c>
      <c r="C16">
        <v>250</v>
      </c>
      <c r="D16">
        <v>250</v>
      </c>
      <c r="E16" s="24">
        <v>138</v>
      </c>
      <c r="F16" t="s">
        <v>131</v>
      </c>
    </row>
    <row r="17" spans="2:6" x14ac:dyDescent="0.25">
      <c r="B17" s="24">
        <v>1.5</v>
      </c>
      <c r="C17">
        <v>250</v>
      </c>
      <c r="D17">
        <v>250</v>
      </c>
      <c r="E17" s="24">
        <v>133</v>
      </c>
      <c r="F17" t="s">
        <v>131</v>
      </c>
    </row>
    <row r="18" spans="2:6" x14ac:dyDescent="0.25">
      <c r="B18" s="24">
        <v>1.6</v>
      </c>
      <c r="C18">
        <v>250</v>
      </c>
      <c r="D18">
        <v>250</v>
      </c>
      <c r="E18" s="24">
        <v>127</v>
      </c>
      <c r="F18" t="s">
        <v>131</v>
      </c>
    </row>
    <row r="19" spans="2:6" x14ac:dyDescent="0.25">
      <c r="B19" s="24">
        <v>1.7</v>
      </c>
      <c r="C19">
        <v>250</v>
      </c>
      <c r="D19">
        <v>250</v>
      </c>
      <c r="E19" s="24">
        <v>122</v>
      </c>
      <c r="F19" t="s">
        <v>131</v>
      </c>
    </row>
    <row r="20" spans="2:6" x14ac:dyDescent="0.25">
      <c r="B20" s="24">
        <v>1.8</v>
      </c>
      <c r="C20">
        <v>250</v>
      </c>
      <c r="D20">
        <v>250</v>
      </c>
      <c r="E20" s="24">
        <v>116</v>
      </c>
      <c r="F20" t="s">
        <v>131</v>
      </c>
    </row>
    <row r="21" spans="2:6" x14ac:dyDescent="0.25">
      <c r="B21" s="24">
        <v>1.9</v>
      </c>
      <c r="C21">
        <v>250</v>
      </c>
      <c r="D21">
        <v>250</v>
      </c>
      <c r="E21" s="24">
        <v>111</v>
      </c>
      <c r="F21" t="s">
        <v>131</v>
      </c>
    </row>
    <row r="22" spans="2:6" x14ac:dyDescent="0.25">
      <c r="B22" s="24">
        <v>2</v>
      </c>
      <c r="C22">
        <v>250</v>
      </c>
      <c r="D22">
        <v>250</v>
      </c>
      <c r="E22" s="24">
        <v>105</v>
      </c>
      <c r="F22" t="s">
        <v>131</v>
      </c>
    </row>
    <row r="23" spans="2:6" x14ac:dyDescent="0.25">
      <c r="B23" s="24">
        <v>2.1</v>
      </c>
      <c r="C23">
        <v>250</v>
      </c>
      <c r="D23">
        <v>250</v>
      </c>
      <c r="E23" s="24">
        <v>100</v>
      </c>
      <c r="F23" t="s">
        <v>131</v>
      </c>
    </row>
    <row r="24" spans="2:6" x14ac:dyDescent="0.25">
      <c r="B24" s="24">
        <v>2.2000000000000002</v>
      </c>
      <c r="C24">
        <v>250</v>
      </c>
      <c r="D24">
        <v>250</v>
      </c>
      <c r="E24" s="24">
        <v>94</v>
      </c>
      <c r="F24" t="s">
        <v>131</v>
      </c>
    </row>
    <row r="25" spans="2:6" x14ac:dyDescent="0.25">
      <c r="B25" s="24">
        <v>2.2999999999999998</v>
      </c>
      <c r="C25">
        <v>250</v>
      </c>
      <c r="D25">
        <v>250</v>
      </c>
      <c r="E25" s="24">
        <v>89</v>
      </c>
      <c r="F25" t="s">
        <v>131</v>
      </c>
    </row>
    <row r="26" spans="2:6" x14ac:dyDescent="0.25">
      <c r="B26" s="24">
        <v>2.4</v>
      </c>
      <c r="C26">
        <v>250</v>
      </c>
      <c r="D26">
        <v>250</v>
      </c>
      <c r="E26" s="24">
        <v>83</v>
      </c>
      <c r="F26" t="s">
        <v>131</v>
      </c>
    </row>
    <row r="27" spans="2:6" x14ac:dyDescent="0.25">
      <c r="B27" s="24">
        <v>2.5</v>
      </c>
      <c r="C27">
        <v>250</v>
      </c>
      <c r="D27">
        <v>250</v>
      </c>
      <c r="E27" s="24">
        <v>78</v>
      </c>
      <c r="F27" t="s">
        <v>131</v>
      </c>
    </row>
    <row r="28" spans="2:6" x14ac:dyDescent="0.25">
      <c r="B28" s="24">
        <v>2.6</v>
      </c>
      <c r="C28">
        <v>249</v>
      </c>
      <c r="D28">
        <v>250</v>
      </c>
      <c r="E28" s="24">
        <v>72</v>
      </c>
      <c r="F28" t="s">
        <v>131</v>
      </c>
    </row>
    <row r="29" spans="2:6" x14ac:dyDescent="0.25">
      <c r="B29" s="24">
        <v>2.7</v>
      </c>
      <c r="C29">
        <v>248</v>
      </c>
      <c r="D29">
        <v>249</v>
      </c>
      <c r="E29" s="24">
        <v>67</v>
      </c>
      <c r="F29" t="s">
        <v>131</v>
      </c>
    </row>
    <row r="30" spans="2:6" x14ac:dyDescent="0.25">
      <c r="B30" s="24">
        <v>2.8</v>
      </c>
      <c r="C30">
        <v>247</v>
      </c>
      <c r="D30">
        <v>248</v>
      </c>
      <c r="E30" s="24">
        <v>61</v>
      </c>
      <c r="F30" t="s">
        <v>131</v>
      </c>
    </row>
    <row r="31" spans="2:6" x14ac:dyDescent="0.25">
      <c r="B31" s="24">
        <v>2.9</v>
      </c>
      <c r="C31">
        <v>246</v>
      </c>
      <c r="D31">
        <v>247</v>
      </c>
      <c r="E31" s="24">
        <v>56</v>
      </c>
      <c r="F31" t="s">
        <v>131</v>
      </c>
    </row>
    <row r="32" spans="2:6" x14ac:dyDescent="0.25">
      <c r="B32" s="24">
        <v>3</v>
      </c>
      <c r="C32">
        <v>245</v>
      </c>
      <c r="D32">
        <v>246</v>
      </c>
      <c r="E32" s="24">
        <v>50</v>
      </c>
      <c r="F32" t="s">
        <v>132</v>
      </c>
    </row>
    <row r="33" spans="2:6" x14ac:dyDescent="0.25">
      <c r="B33" s="24">
        <v>3.1</v>
      </c>
      <c r="C33">
        <v>244</v>
      </c>
      <c r="D33">
        <v>245</v>
      </c>
      <c r="E33" s="24">
        <v>45</v>
      </c>
      <c r="F33" t="s">
        <v>132</v>
      </c>
    </row>
    <row r="34" spans="2:6" x14ac:dyDescent="0.25">
      <c r="B34" s="24">
        <v>3.2</v>
      </c>
      <c r="C34">
        <v>243</v>
      </c>
      <c r="D34">
        <v>244</v>
      </c>
      <c r="E34" s="24">
        <v>45</v>
      </c>
      <c r="F34" t="s">
        <v>132</v>
      </c>
    </row>
    <row r="35" spans="2:6" x14ac:dyDescent="0.25">
      <c r="B35" s="24">
        <v>3.3</v>
      </c>
      <c r="C35">
        <v>242</v>
      </c>
      <c r="D35">
        <v>242</v>
      </c>
      <c r="E35" s="24">
        <v>45</v>
      </c>
      <c r="F35" t="s">
        <v>132</v>
      </c>
    </row>
    <row r="36" spans="2:6" x14ac:dyDescent="0.25">
      <c r="B36" s="24">
        <v>3.4</v>
      </c>
      <c r="C36">
        <v>241</v>
      </c>
      <c r="D36">
        <v>240</v>
      </c>
      <c r="E36" s="24">
        <v>46</v>
      </c>
      <c r="F36" t="s">
        <v>132</v>
      </c>
    </row>
    <row r="37" spans="2:6" x14ac:dyDescent="0.25">
      <c r="B37" s="24">
        <v>3.5</v>
      </c>
      <c r="C37">
        <v>240</v>
      </c>
      <c r="D37">
        <v>238</v>
      </c>
      <c r="E37" s="24">
        <v>46</v>
      </c>
      <c r="F37" t="s">
        <v>132</v>
      </c>
    </row>
    <row r="38" spans="2:6" x14ac:dyDescent="0.25">
      <c r="B38" s="24">
        <v>3.6</v>
      </c>
      <c r="C38">
        <v>239</v>
      </c>
      <c r="D38">
        <v>236</v>
      </c>
      <c r="E38" s="24">
        <v>46</v>
      </c>
      <c r="F38" t="s">
        <v>132</v>
      </c>
    </row>
    <row r="39" spans="2:6" x14ac:dyDescent="0.25">
      <c r="B39" s="24">
        <v>3.7</v>
      </c>
      <c r="C39">
        <v>238</v>
      </c>
      <c r="D39">
        <v>234</v>
      </c>
      <c r="E39" s="24">
        <v>46</v>
      </c>
      <c r="F39" t="s">
        <v>132</v>
      </c>
    </row>
    <row r="40" spans="2:6" x14ac:dyDescent="0.25">
      <c r="B40" s="24">
        <v>3.8</v>
      </c>
      <c r="C40">
        <v>237</v>
      </c>
      <c r="D40">
        <v>232</v>
      </c>
      <c r="E40" s="24">
        <v>47</v>
      </c>
      <c r="F40" t="s">
        <v>132</v>
      </c>
    </row>
    <row r="41" spans="2:6" x14ac:dyDescent="0.25">
      <c r="B41" s="24">
        <v>3.9</v>
      </c>
      <c r="C41">
        <v>236</v>
      </c>
      <c r="D41">
        <v>230</v>
      </c>
      <c r="E41" s="24">
        <v>47</v>
      </c>
      <c r="F41" t="s">
        <v>132</v>
      </c>
    </row>
    <row r="42" spans="2:6" x14ac:dyDescent="0.25">
      <c r="B42" s="24">
        <v>4</v>
      </c>
      <c r="C42">
        <v>235</v>
      </c>
      <c r="D42">
        <v>228</v>
      </c>
      <c r="E42" s="24">
        <v>47</v>
      </c>
      <c r="F42" t="s">
        <v>133</v>
      </c>
    </row>
    <row r="43" spans="2:6" x14ac:dyDescent="0.25">
      <c r="B43">
        <v>4.0999999999999996</v>
      </c>
      <c r="C43">
        <v>234</v>
      </c>
      <c r="D43">
        <v>226</v>
      </c>
      <c r="E43" s="24">
        <v>47</v>
      </c>
      <c r="F43" t="s">
        <v>133</v>
      </c>
    </row>
    <row r="44" spans="2:6" x14ac:dyDescent="0.25">
      <c r="B44">
        <v>4.2</v>
      </c>
      <c r="C44">
        <v>233</v>
      </c>
      <c r="D44">
        <v>224</v>
      </c>
      <c r="E44" s="24">
        <v>48</v>
      </c>
      <c r="F44" t="s">
        <v>133</v>
      </c>
    </row>
    <row r="45" spans="2:6" x14ac:dyDescent="0.25">
      <c r="B45">
        <v>4.3</v>
      </c>
      <c r="C45">
        <v>232</v>
      </c>
      <c r="D45">
        <v>222</v>
      </c>
      <c r="E45" s="24">
        <v>48</v>
      </c>
      <c r="F45" t="s">
        <v>133</v>
      </c>
    </row>
    <row r="46" spans="2:6" x14ac:dyDescent="0.25">
      <c r="B46">
        <v>4.4000000000000004</v>
      </c>
      <c r="C46">
        <v>231</v>
      </c>
      <c r="D46">
        <v>220</v>
      </c>
      <c r="E46" s="24">
        <v>48</v>
      </c>
      <c r="F46" t="s">
        <v>133</v>
      </c>
    </row>
    <row r="47" spans="2:6" x14ac:dyDescent="0.25">
      <c r="B47">
        <v>4.5</v>
      </c>
      <c r="C47">
        <v>230</v>
      </c>
      <c r="D47">
        <v>218</v>
      </c>
      <c r="E47" s="24">
        <v>48</v>
      </c>
      <c r="F47" t="s">
        <v>133</v>
      </c>
    </row>
    <row r="48" spans="2:6" x14ac:dyDescent="0.25">
      <c r="B48">
        <v>4.5999999999999996</v>
      </c>
      <c r="C48">
        <v>229</v>
      </c>
      <c r="D48">
        <v>216</v>
      </c>
      <c r="E48" s="24">
        <v>49</v>
      </c>
      <c r="F48" t="s">
        <v>133</v>
      </c>
    </row>
    <row r="49" spans="2:6" x14ac:dyDescent="0.25">
      <c r="B49">
        <v>4.7</v>
      </c>
      <c r="C49">
        <v>228</v>
      </c>
      <c r="D49">
        <v>214</v>
      </c>
      <c r="E49" s="24">
        <v>49</v>
      </c>
      <c r="F49" t="s">
        <v>133</v>
      </c>
    </row>
    <row r="50" spans="2:6" x14ac:dyDescent="0.25">
      <c r="B50">
        <v>4.8</v>
      </c>
      <c r="C50">
        <v>227</v>
      </c>
      <c r="D50">
        <v>212</v>
      </c>
      <c r="E50" s="24">
        <v>49</v>
      </c>
      <c r="F50" t="s">
        <v>133</v>
      </c>
    </row>
    <row r="51" spans="2:6" x14ac:dyDescent="0.25">
      <c r="B51">
        <v>4.9000000000000004</v>
      </c>
      <c r="C51">
        <v>226</v>
      </c>
      <c r="D51">
        <v>210</v>
      </c>
      <c r="E51" s="24">
        <v>49</v>
      </c>
      <c r="F51" t="s">
        <v>133</v>
      </c>
    </row>
    <row r="52" spans="2:6" x14ac:dyDescent="0.25">
      <c r="B52">
        <v>5</v>
      </c>
      <c r="C52">
        <v>225</v>
      </c>
      <c r="D52">
        <v>208</v>
      </c>
      <c r="E52" s="24">
        <v>50</v>
      </c>
      <c r="F52" t="s">
        <v>133</v>
      </c>
    </row>
    <row r="53" spans="2:6" x14ac:dyDescent="0.25">
      <c r="B53">
        <v>5.0999999999999996</v>
      </c>
      <c r="C53">
        <v>224</v>
      </c>
      <c r="D53">
        <v>206</v>
      </c>
      <c r="E53" s="24">
        <v>50</v>
      </c>
      <c r="F53" t="s">
        <v>133</v>
      </c>
    </row>
    <row r="54" spans="2:6" x14ac:dyDescent="0.25">
      <c r="B54">
        <v>5.2</v>
      </c>
      <c r="C54">
        <v>223</v>
      </c>
      <c r="D54">
        <v>204</v>
      </c>
      <c r="E54" s="24">
        <v>50</v>
      </c>
      <c r="F54" t="s">
        <v>133</v>
      </c>
    </row>
    <row r="55" spans="2:6" x14ac:dyDescent="0.25">
      <c r="B55">
        <v>5.3</v>
      </c>
      <c r="C55">
        <v>222</v>
      </c>
      <c r="D55">
        <v>202</v>
      </c>
      <c r="E55" s="24">
        <v>50</v>
      </c>
      <c r="F55" t="s">
        <v>133</v>
      </c>
    </row>
    <row r="56" spans="2:6" x14ac:dyDescent="0.25">
      <c r="B56">
        <v>5.4</v>
      </c>
      <c r="C56">
        <v>221</v>
      </c>
      <c r="D56">
        <v>200</v>
      </c>
      <c r="E56" s="24">
        <v>51</v>
      </c>
      <c r="F56" t="s">
        <v>133</v>
      </c>
    </row>
    <row r="57" spans="2:6" x14ac:dyDescent="0.25">
      <c r="B57">
        <v>5.5</v>
      </c>
      <c r="C57">
        <v>220</v>
      </c>
      <c r="D57">
        <v>198</v>
      </c>
      <c r="E57" s="24">
        <v>51</v>
      </c>
      <c r="F57" t="s">
        <v>133</v>
      </c>
    </row>
    <row r="58" spans="2:6" x14ac:dyDescent="0.25">
      <c r="B58">
        <v>5.6</v>
      </c>
      <c r="C58">
        <v>219</v>
      </c>
      <c r="D58">
        <v>196</v>
      </c>
      <c r="E58" s="24">
        <v>51</v>
      </c>
      <c r="F58" t="s">
        <v>133</v>
      </c>
    </row>
    <row r="59" spans="2:6" x14ac:dyDescent="0.25">
      <c r="B59">
        <v>5.7</v>
      </c>
      <c r="C59">
        <v>218</v>
      </c>
      <c r="D59">
        <v>194</v>
      </c>
      <c r="E59" s="24">
        <v>51</v>
      </c>
      <c r="F59" t="s">
        <v>133</v>
      </c>
    </row>
    <row r="60" spans="2:6" x14ac:dyDescent="0.25">
      <c r="B60">
        <v>5.8</v>
      </c>
      <c r="C60">
        <v>217</v>
      </c>
      <c r="D60">
        <v>192</v>
      </c>
      <c r="E60" s="24">
        <v>52</v>
      </c>
      <c r="F60" t="s">
        <v>133</v>
      </c>
    </row>
    <row r="61" spans="2:6" x14ac:dyDescent="0.25">
      <c r="B61">
        <v>5.9</v>
      </c>
      <c r="C61">
        <v>216</v>
      </c>
      <c r="D61">
        <v>190</v>
      </c>
      <c r="E61" s="24">
        <v>52</v>
      </c>
      <c r="F61" t="s">
        <v>133</v>
      </c>
    </row>
    <row r="62" spans="2:6" x14ac:dyDescent="0.25">
      <c r="B62">
        <v>6</v>
      </c>
      <c r="C62">
        <v>215</v>
      </c>
      <c r="D62">
        <v>188</v>
      </c>
      <c r="E62" s="24">
        <v>52</v>
      </c>
      <c r="F62" t="s">
        <v>134</v>
      </c>
    </row>
    <row r="63" spans="2:6" x14ac:dyDescent="0.25">
      <c r="B63">
        <v>6.1</v>
      </c>
      <c r="C63">
        <v>214</v>
      </c>
      <c r="D63">
        <v>186</v>
      </c>
      <c r="E63" s="24">
        <v>52</v>
      </c>
      <c r="F63" t="s">
        <v>134</v>
      </c>
    </row>
    <row r="64" spans="2:6" x14ac:dyDescent="0.25">
      <c r="B64">
        <v>6.2</v>
      </c>
      <c r="C64">
        <v>213</v>
      </c>
      <c r="D64">
        <v>184</v>
      </c>
      <c r="E64" s="24">
        <v>53</v>
      </c>
      <c r="F64" t="s">
        <v>134</v>
      </c>
    </row>
    <row r="65" spans="2:6" x14ac:dyDescent="0.25">
      <c r="B65">
        <v>6.3</v>
      </c>
      <c r="C65">
        <v>212</v>
      </c>
      <c r="D65">
        <v>182</v>
      </c>
      <c r="E65" s="24">
        <v>53</v>
      </c>
      <c r="F65" t="s">
        <v>134</v>
      </c>
    </row>
    <row r="66" spans="2:6" x14ac:dyDescent="0.25">
      <c r="B66">
        <v>6.4</v>
      </c>
      <c r="C66">
        <v>211</v>
      </c>
      <c r="D66">
        <v>180</v>
      </c>
      <c r="E66" s="24">
        <v>53</v>
      </c>
      <c r="F66" t="s">
        <v>134</v>
      </c>
    </row>
    <row r="67" spans="2:6" x14ac:dyDescent="0.25">
      <c r="B67">
        <v>6.5</v>
      </c>
      <c r="C67">
        <v>210</v>
      </c>
      <c r="D67">
        <v>178</v>
      </c>
      <c r="E67" s="24">
        <v>53</v>
      </c>
      <c r="F67" t="s">
        <v>134</v>
      </c>
    </row>
    <row r="68" spans="2:6" x14ac:dyDescent="0.25">
      <c r="B68">
        <v>6.6</v>
      </c>
      <c r="C68">
        <v>209</v>
      </c>
      <c r="D68">
        <v>176</v>
      </c>
      <c r="E68" s="24">
        <v>54</v>
      </c>
      <c r="F68" t="s">
        <v>134</v>
      </c>
    </row>
    <row r="69" spans="2:6" x14ac:dyDescent="0.25">
      <c r="B69">
        <v>6.7</v>
      </c>
      <c r="C69">
        <v>208</v>
      </c>
      <c r="D69">
        <v>174</v>
      </c>
      <c r="E69" s="24">
        <v>54</v>
      </c>
      <c r="F69" t="s">
        <v>134</v>
      </c>
    </row>
    <row r="70" spans="2:6" x14ac:dyDescent="0.25">
      <c r="B70">
        <v>6.8</v>
      </c>
      <c r="C70">
        <v>207</v>
      </c>
      <c r="D70">
        <v>172</v>
      </c>
      <c r="E70" s="24">
        <v>54</v>
      </c>
      <c r="F70" t="s">
        <v>134</v>
      </c>
    </row>
    <row r="71" spans="2:6" x14ac:dyDescent="0.25">
      <c r="B71">
        <v>6.9</v>
      </c>
      <c r="C71">
        <v>206</v>
      </c>
      <c r="D71">
        <v>170</v>
      </c>
      <c r="E71" s="24">
        <v>54</v>
      </c>
      <c r="F71" t="s">
        <v>134</v>
      </c>
    </row>
    <row r="72" spans="2:6" x14ac:dyDescent="0.25">
      <c r="B72">
        <v>7</v>
      </c>
      <c r="C72">
        <v>205</v>
      </c>
      <c r="D72">
        <v>168</v>
      </c>
      <c r="E72" s="24">
        <v>55</v>
      </c>
      <c r="F72" t="s">
        <v>134</v>
      </c>
    </row>
    <row r="73" spans="2:6" x14ac:dyDescent="0.25">
      <c r="B73">
        <v>7.1</v>
      </c>
      <c r="C73">
        <v>204</v>
      </c>
      <c r="D73">
        <v>166</v>
      </c>
      <c r="E73" s="24">
        <v>55</v>
      </c>
      <c r="F73" t="s">
        <v>134</v>
      </c>
    </row>
    <row r="74" spans="2:6" x14ac:dyDescent="0.25">
      <c r="B74">
        <v>7.2</v>
      </c>
      <c r="C74">
        <v>203</v>
      </c>
      <c r="D74">
        <v>164</v>
      </c>
      <c r="E74" s="24">
        <v>55</v>
      </c>
      <c r="F74" t="s">
        <v>134</v>
      </c>
    </row>
    <row r="75" spans="2:6" x14ac:dyDescent="0.25">
      <c r="B75">
        <v>7.3</v>
      </c>
      <c r="C75">
        <v>202</v>
      </c>
      <c r="D75">
        <v>162</v>
      </c>
      <c r="E75" s="24">
        <v>55</v>
      </c>
      <c r="F75" t="s">
        <v>134</v>
      </c>
    </row>
    <row r="76" spans="2:6" x14ac:dyDescent="0.25">
      <c r="B76">
        <v>7.4</v>
      </c>
      <c r="C76">
        <v>201</v>
      </c>
      <c r="D76">
        <v>160</v>
      </c>
      <c r="E76" s="24">
        <v>56</v>
      </c>
      <c r="F76" t="s">
        <v>134</v>
      </c>
    </row>
    <row r="77" spans="2:6" x14ac:dyDescent="0.25">
      <c r="B77">
        <v>7.5</v>
      </c>
      <c r="C77">
        <v>200</v>
      </c>
      <c r="D77">
        <v>158</v>
      </c>
      <c r="E77" s="24">
        <v>56</v>
      </c>
      <c r="F77" t="s">
        <v>134</v>
      </c>
    </row>
    <row r="78" spans="2:6" x14ac:dyDescent="0.25">
      <c r="B78">
        <v>7.6</v>
      </c>
      <c r="C78">
        <v>200</v>
      </c>
      <c r="D78">
        <v>156</v>
      </c>
      <c r="E78" s="24">
        <v>56</v>
      </c>
      <c r="F78" t="s">
        <v>134</v>
      </c>
    </row>
    <row r="79" spans="2:6" x14ac:dyDescent="0.25">
      <c r="B79">
        <v>7.7</v>
      </c>
      <c r="C79">
        <v>199</v>
      </c>
      <c r="D79">
        <v>154</v>
      </c>
      <c r="E79" s="24">
        <v>56</v>
      </c>
      <c r="F79" t="s">
        <v>134</v>
      </c>
    </row>
    <row r="80" spans="2:6" x14ac:dyDescent="0.25">
      <c r="B80">
        <v>7.8</v>
      </c>
      <c r="C80">
        <v>199</v>
      </c>
      <c r="D80">
        <v>152</v>
      </c>
      <c r="E80" s="24">
        <v>56</v>
      </c>
      <c r="F80" t="s">
        <v>134</v>
      </c>
    </row>
    <row r="81" spans="2:6" x14ac:dyDescent="0.25">
      <c r="B81">
        <v>7.9</v>
      </c>
      <c r="C81">
        <v>198</v>
      </c>
      <c r="D81">
        <v>150</v>
      </c>
      <c r="E81" s="24">
        <v>56</v>
      </c>
      <c r="F81" t="s">
        <v>134</v>
      </c>
    </row>
    <row r="82" spans="2:6" x14ac:dyDescent="0.25">
      <c r="B82">
        <v>8</v>
      </c>
      <c r="C82">
        <v>198</v>
      </c>
      <c r="D82">
        <v>148</v>
      </c>
      <c r="E82" s="24">
        <v>56</v>
      </c>
      <c r="F82" t="s">
        <v>134</v>
      </c>
    </row>
    <row r="83" spans="2:6" x14ac:dyDescent="0.25">
      <c r="B83">
        <v>8.1</v>
      </c>
      <c r="C83">
        <v>197</v>
      </c>
      <c r="D83">
        <v>146</v>
      </c>
      <c r="E83" s="24">
        <v>56</v>
      </c>
      <c r="F83" t="s">
        <v>134</v>
      </c>
    </row>
    <row r="84" spans="2:6" x14ac:dyDescent="0.25">
      <c r="B84">
        <v>8.1999999999999993</v>
      </c>
      <c r="C84">
        <v>197</v>
      </c>
      <c r="D84">
        <v>144</v>
      </c>
      <c r="E84" s="24">
        <v>56</v>
      </c>
      <c r="F84" t="s">
        <v>134</v>
      </c>
    </row>
    <row r="85" spans="2:6" x14ac:dyDescent="0.25">
      <c r="B85">
        <v>8.3000000000000007</v>
      </c>
      <c r="C85">
        <v>196</v>
      </c>
      <c r="D85">
        <v>142</v>
      </c>
      <c r="E85" s="24">
        <v>56</v>
      </c>
      <c r="F85" t="s">
        <v>134</v>
      </c>
    </row>
    <row r="86" spans="2:6" x14ac:dyDescent="0.25">
      <c r="B86">
        <v>8.4</v>
      </c>
      <c r="C86">
        <v>196</v>
      </c>
      <c r="D86">
        <v>141</v>
      </c>
      <c r="E86" s="24">
        <v>56</v>
      </c>
      <c r="F86" t="s">
        <v>134</v>
      </c>
    </row>
    <row r="87" spans="2:6" x14ac:dyDescent="0.25">
      <c r="B87">
        <v>8.5</v>
      </c>
      <c r="C87">
        <v>195</v>
      </c>
      <c r="D87">
        <v>140</v>
      </c>
      <c r="E87" s="24">
        <v>56</v>
      </c>
      <c r="F87" t="s">
        <v>134</v>
      </c>
    </row>
    <row r="88" spans="2:6" x14ac:dyDescent="0.25">
      <c r="B88">
        <v>8.6</v>
      </c>
      <c r="C88">
        <v>195</v>
      </c>
      <c r="D88">
        <v>139</v>
      </c>
      <c r="E88" s="24">
        <v>56</v>
      </c>
      <c r="F88" t="s">
        <v>134</v>
      </c>
    </row>
    <row r="89" spans="2:6" x14ac:dyDescent="0.25">
      <c r="B89">
        <v>8.6999999999999993</v>
      </c>
      <c r="C89">
        <v>194</v>
      </c>
      <c r="D89">
        <v>139</v>
      </c>
      <c r="E89" s="24">
        <v>56</v>
      </c>
      <c r="F89" t="s">
        <v>134</v>
      </c>
    </row>
    <row r="90" spans="2:6" x14ac:dyDescent="0.25">
      <c r="B90">
        <v>8.8000000000000007</v>
      </c>
      <c r="C90">
        <v>194</v>
      </c>
      <c r="D90">
        <v>138</v>
      </c>
      <c r="E90" s="24">
        <v>56</v>
      </c>
      <c r="F90" t="s">
        <v>134</v>
      </c>
    </row>
    <row r="91" spans="2:6" x14ac:dyDescent="0.25">
      <c r="B91">
        <v>8.9</v>
      </c>
      <c r="C91">
        <v>193</v>
      </c>
      <c r="D91">
        <v>137</v>
      </c>
      <c r="E91" s="24">
        <v>56</v>
      </c>
      <c r="F91" t="s">
        <v>134</v>
      </c>
    </row>
    <row r="92" spans="2:6" x14ac:dyDescent="0.25">
      <c r="B92">
        <v>9</v>
      </c>
      <c r="C92">
        <v>193</v>
      </c>
      <c r="D92">
        <v>136</v>
      </c>
      <c r="E92" s="24">
        <v>56</v>
      </c>
      <c r="F92" t="s">
        <v>135</v>
      </c>
    </row>
    <row r="93" spans="2:6" x14ac:dyDescent="0.25">
      <c r="B93">
        <v>9.1</v>
      </c>
      <c r="C93">
        <v>192</v>
      </c>
      <c r="D93">
        <v>136</v>
      </c>
      <c r="E93" s="24">
        <v>56</v>
      </c>
      <c r="F93" t="s">
        <v>135</v>
      </c>
    </row>
    <row r="94" spans="2:6" x14ac:dyDescent="0.25">
      <c r="B94">
        <v>9.1999999999999993</v>
      </c>
      <c r="C94">
        <v>192</v>
      </c>
      <c r="D94">
        <v>135</v>
      </c>
      <c r="E94" s="24">
        <v>56</v>
      </c>
      <c r="F94" t="s">
        <v>135</v>
      </c>
    </row>
    <row r="95" spans="2:6" x14ac:dyDescent="0.25">
      <c r="B95">
        <v>9.3000000000000007</v>
      </c>
      <c r="C95">
        <v>192</v>
      </c>
      <c r="D95">
        <v>134</v>
      </c>
      <c r="E95" s="24">
        <v>56</v>
      </c>
      <c r="F95" t="s">
        <v>135</v>
      </c>
    </row>
    <row r="96" spans="2:6" x14ac:dyDescent="0.25">
      <c r="B96">
        <v>9.4</v>
      </c>
      <c r="C96">
        <v>192</v>
      </c>
      <c r="D96">
        <v>133</v>
      </c>
      <c r="E96" s="24">
        <v>56</v>
      </c>
      <c r="F96" t="s">
        <v>135</v>
      </c>
    </row>
    <row r="97" spans="2:6" x14ac:dyDescent="0.25">
      <c r="B97">
        <v>9.5</v>
      </c>
      <c r="C97">
        <v>192</v>
      </c>
      <c r="D97">
        <v>133</v>
      </c>
      <c r="E97" s="24">
        <v>56</v>
      </c>
      <c r="F97" t="s">
        <v>135</v>
      </c>
    </row>
    <row r="98" spans="2:6" x14ac:dyDescent="0.25">
      <c r="B98">
        <v>9.6</v>
      </c>
      <c r="C98">
        <v>192</v>
      </c>
      <c r="D98">
        <v>132</v>
      </c>
      <c r="E98" s="24">
        <v>56</v>
      </c>
      <c r="F98" t="s">
        <v>135</v>
      </c>
    </row>
    <row r="99" spans="2:6" x14ac:dyDescent="0.25">
      <c r="B99">
        <v>9.6999999999999993</v>
      </c>
      <c r="C99">
        <v>192</v>
      </c>
      <c r="D99">
        <v>131</v>
      </c>
      <c r="E99" s="24">
        <v>56</v>
      </c>
      <c r="F99" t="s">
        <v>135</v>
      </c>
    </row>
    <row r="100" spans="2:6" x14ac:dyDescent="0.25">
      <c r="B100">
        <v>9.8000000000000007</v>
      </c>
      <c r="C100">
        <v>192</v>
      </c>
      <c r="D100">
        <v>130</v>
      </c>
      <c r="E100" s="24">
        <v>56</v>
      </c>
      <c r="F100" t="s">
        <v>135</v>
      </c>
    </row>
    <row r="101" spans="2:6" x14ac:dyDescent="0.25">
      <c r="B101">
        <v>9.9</v>
      </c>
      <c r="C101">
        <v>192</v>
      </c>
      <c r="D101">
        <v>130</v>
      </c>
      <c r="E101" s="24">
        <v>56</v>
      </c>
      <c r="F101" t="s">
        <v>135</v>
      </c>
    </row>
    <row r="102" spans="2:6" x14ac:dyDescent="0.25">
      <c r="B102">
        <v>10</v>
      </c>
      <c r="C102">
        <v>192</v>
      </c>
      <c r="D102">
        <v>129</v>
      </c>
      <c r="E102" s="24">
        <v>56</v>
      </c>
      <c r="F102" t="s">
        <v>135</v>
      </c>
    </row>
    <row r="103" spans="2:6" x14ac:dyDescent="0.25">
      <c r="B103">
        <v>10.1</v>
      </c>
      <c r="C103">
        <v>192</v>
      </c>
      <c r="D103">
        <v>128</v>
      </c>
      <c r="E103" s="24">
        <v>56</v>
      </c>
      <c r="F103" t="s">
        <v>135</v>
      </c>
    </row>
    <row r="104" spans="2:6" x14ac:dyDescent="0.25">
      <c r="B104">
        <v>10.199999999999999</v>
      </c>
      <c r="C104">
        <v>192</v>
      </c>
      <c r="D104">
        <v>127</v>
      </c>
      <c r="E104" s="24">
        <v>56</v>
      </c>
      <c r="F104" t="s">
        <v>135</v>
      </c>
    </row>
    <row r="105" spans="2:6" x14ac:dyDescent="0.25">
      <c r="B105">
        <v>10.3</v>
      </c>
      <c r="C105">
        <v>192</v>
      </c>
      <c r="D105">
        <v>127</v>
      </c>
      <c r="E105" s="24">
        <v>56</v>
      </c>
      <c r="F105" t="s">
        <v>135</v>
      </c>
    </row>
    <row r="106" spans="2:6" x14ac:dyDescent="0.25">
      <c r="B106">
        <v>10.4</v>
      </c>
      <c r="C106">
        <v>192</v>
      </c>
      <c r="D106">
        <v>126</v>
      </c>
      <c r="E106" s="24">
        <v>56</v>
      </c>
      <c r="F106" t="s">
        <v>135</v>
      </c>
    </row>
    <row r="107" spans="2:6" x14ac:dyDescent="0.25">
      <c r="B107">
        <v>10.5</v>
      </c>
      <c r="C107">
        <v>192</v>
      </c>
      <c r="D107">
        <v>125</v>
      </c>
      <c r="E107" s="24">
        <v>56</v>
      </c>
      <c r="F107" t="s">
        <v>135</v>
      </c>
    </row>
    <row r="108" spans="2:6" x14ac:dyDescent="0.25">
      <c r="B108">
        <v>10.6</v>
      </c>
      <c r="C108">
        <v>192</v>
      </c>
      <c r="D108">
        <v>124</v>
      </c>
      <c r="E108" s="24">
        <v>56</v>
      </c>
      <c r="F108" t="s">
        <v>135</v>
      </c>
    </row>
    <row r="109" spans="2:6" x14ac:dyDescent="0.25">
      <c r="B109">
        <v>10.7</v>
      </c>
      <c r="C109">
        <v>192</v>
      </c>
      <c r="D109">
        <v>124</v>
      </c>
      <c r="E109" s="24">
        <v>56</v>
      </c>
      <c r="F109" t="s">
        <v>135</v>
      </c>
    </row>
    <row r="110" spans="2:6" x14ac:dyDescent="0.25">
      <c r="B110">
        <v>10.8</v>
      </c>
      <c r="C110">
        <v>192</v>
      </c>
      <c r="D110">
        <v>123</v>
      </c>
      <c r="E110" s="24">
        <v>56</v>
      </c>
      <c r="F110" t="s">
        <v>135</v>
      </c>
    </row>
    <row r="111" spans="2:6" x14ac:dyDescent="0.25">
      <c r="B111">
        <v>10.9</v>
      </c>
      <c r="C111">
        <v>192</v>
      </c>
      <c r="D111">
        <v>122</v>
      </c>
      <c r="E111" s="24">
        <v>56</v>
      </c>
      <c r="F111" t="s">
        <v>135</v>
      </c>
    </row>
    <row r="112" spans="2:6" x14ac:dyDescent="0.25">
      <c r="B112">
        <v>11</v>
      </c>
      <c r="C112">
        <v>192</v>
      </c>
      <c r="D112">
        <v>121</v>
      </c>
      <c r="E112" s="24">
        <v>56</v>
      </c>
      <c r="F112" t="s">
        <v>135</v>
      </c>
    </row>
    <row r="113" spans="2:6" x14ac:dyDescent="0.25">
      <c r="B113">
        <v>11.1</v>
      </c>
      <c r="C113">
        <v>192</v>
      </c>
      <c r="D113">
        <v>121</v>
      </c>
      <c r="E113" s="24">
        <v>56</v>
      </c>
      <c r="F113" t="s">
        <v>135</v>
      </c>
    </row>
    <row r="114" spans="2:6" x14ac:dyDescent="0.25">
      <c r="B114">
        <v>11.2</v>
      </c>
      <c r="C114">
        <v>192</v>
      </c>
      <c r="D114">
        <v>120</v>
      </c>
      <c r="E114" s="24">
        <v>56</v>
      </c>
      <c r="F114" t="s">
        <v>135</v>
      </c>
    </row>
    <row r="115" spans="2:6" x14ac:dyDescent="0.25">
      <c r="B115">
        <v>11.3</v>
      </c>
      <c r="C115">
        <v>192</v>
      </c>
      <c r="D115">
        <v>119</v>
      </c>
      <c r="E115" s="24">
        <v>56</v>
      </c>
      <c r="F115" t="s">
        <v>135</v>
      </c>
    </row>
    <row r="116" spans="2:6" x14ac:dyDescent="0.25">
      <c r="B116">
        <v>11.4</v>
      </c>
      <c r="C116">
        <v>192</v>
      </c>
      <c r="D116">
        <v>118</v>
      </c>
      <c r="E116" s="24">
        <v>56</v>
      </c>
      <c r="F116" t="s">
        <v>135</v>
      </c>
    </row>
    <row r="117" spans="2:6" x14ac:dyDescent="0.25">
      <c r="B117">
        <v>11.5</v>
      </c>
      <c r="C117">
        <v>192</v>
      </c>
      <c r="D117">
        <v>118</v>
      </c>
      <c r="E117" s="24">
        <v>56</v>
      </c>
      <c r="F117" t="s">
        <v>135</v>
      </c>
    </row>
    <row r="118" spans="2:6" x14ac:dyDescent="0.25">
      <c r="B118">
        <v>11.6</v>
      </c>
      <c r="C118">
        <v>192</v>
      </c>
      <c r="D118">
        <v>117</v>
      </c>
      <c r="E118" s="24">
        <v>56</v>
      </c>
      <c r="F118" t="s">
        <v>135</v>
      </c>
    </row>
    <row r="119" spans="2:6" x14ac:dyDescent="0.25">
      <c r="B119">
        <v>11.7</v>
      </c>
      <c r="C119">
        <v>192</v>
      </c>
      <c r="D119">
        <v>116</v>
      </c>
      <c r="E119" s="24">
        <v>56</v>
      </c>
      <c r="F119" t="s">
        <v>135</v>
      </c>
    </row>
    <row r="120" spans="2:6" x14ac:dyDescent="0.25">
      <c r="B120">
        <v>11.8</v>
      </c>
      <c r="C120">
        <v>192</v>
      </c>
      <c r="D120">
        <v>115</v>
      </c>
      <c r="E120" s="24">
        <v>56</v>
      </c>
      <c r="F120" t="s">
        <v>135</v>
      </c>
    </row>
    <row r="121" spans="2:6" x14ac:dyDescent="0.25">
      <c r="B121">
        <v>11.9</v>
      </c>
      <c r="C121">
        <v>192</v>
      </c>
      <c r="D121">
        <v>115</v>
      </c>
      <c r="E121" s="24">
        <v>56</v>
      </c>
      <c r="F121" t="s">
        <v>135</v>
      </c>
    </row>
    <row r="122" spans="2:6" x14ac:dyDescent="0.25">
      <c r="B122">
        <v>12</v>
      </c>
      <c r="C122">
        <v>192</v>
      </c>
      <c r="D122">
        <v>114</v>
      </c>
      <c r="E122" s="24">
        <v>56</v>
      </c>
      <c r="F122" t="s">
        <v>136</v>
      </c>
    </row>
    <row r="123" spans="2:6" x14ac:dyDescent="0.25">
      <c r="B123">
        <v>12.1</v>
      </c>
      <c r="C123">
        <v>192</v>
      </c>
      <c r="D123">
        <v>113</v>
      </c>
      <c r="E123" s="24">
        <v>56</v>
      </c>
      <c r="F123" t="s">
        <v>136</v>
      </c>
    </row>
    <row r="124" spans="2:6" x14ac:dyDescent="0.25">
      <c r="B124">
        <v>12.2</v>
      </c>
      <c r="C124">
        <v>192</v>
      </c>
      <c r="D124">
        <v>112</v>
      </c>
      <c r="E124" s="24">
        <v>56</v>
      </c>
      <c r="F124" t="s">
        <v>136</v>
      </c>
    </row>
    <row r="125" spans="2:6" x14ac:dyDescent="0.25">
      <c r="B125">
        <v>12.3</v>
      </c>
      <c r="C125">
        <v>192</v>
      </c>
      <c r="D125">
        <v>112</v>
      </c>
      <c r="E125" s="24">
        <v>56</v>
      </c>
      <c r="F125" t="s">
        <v>136</v>
      </c>
    </row>
    <row r="126" spans="2:6" x14ac:dyDescent="0.25">
      <c r="B126">
        <v>12.4</v>
      </c>
      <c r="C126">
        <v>192</v>
      </c>
      <c r="D126">
        <v>111</v>
      </c>
      <c r="E126" s="24">
        <v>56</v>
      </c>
      <c r="F126" t="s">
        <v>136</v>
      </c>
    </row>
    <row r="127" spans="2:6" x14ac:dyDescent="0.25">
      <c r="B127">
        <v>12.5</v>
      </c>
      <c r="C127">
        <v>192</v>
      </c>
      <c r="D127">
        <v>110</v>
      </c>
      <c r="E127" s="24">
        <v>56</v>
      </c>
      <c r="F127" t="s">
        <v>136</v>
      </c>
    </row>
    <row r="128" spans="2:6" x14ac:dyDescent="0.25">
      <c r="B128">
        <v>12.6</v>
      </c>
      <c r="C128">
        <v>192</v>
      </c>
      <c r="D128">
        <v>109</v>
      </c>
      <c r="E128" s="24">
        <v>56</v>
      </c>
      <c r="F128" t="s">
        <v>136</v>
      </c>
    </row>
    <row r="129" spans="2:6" x14ac:dyDescent="0.25">
      <c r="B129">
        <v>12.7</v>
      </c>
      <c r="C129">
        <v>192</v>
      </c>
      <c r="D129">
        <v>109</v>
      </c>
      <c r="E129" s="24">
        <v>56</v>
      </c>
      <c r="F129" t="s">
        <v>136</v>
      </c>
    </row>
    <row r="130" spans="2:6" x14ac:dyDescent="0.25">
      <c r="B130">
        <v>12.8</v>
      </c>
      <c r="C130">
        <v>192</v>
      </c>
      <c r="D130">
        <v>108</v>
      </c>
      <c r="E130" s="24">
        <v>56</v>
      </c>
      <c r="F130" t="s">
        <v>136</v>
      </c>
    </row>
    <row r="131" spans="2:6" x14ac:dyDescent="0.25">
      <c r="B131">
        <v>12.9</v>
      </c>
      <c r="C131">
        <v>191</v>
      </c>
      <c r="D131">
        <v>107</v>
      </c>
      <c r="E131" s="24">
        <v>56</v>
      </c>
      <c r="F131" t="s">
        <v>136</v>
      </c>
    </row>
    <row r="132" spans="2:6" x14ac:dyDescent="0.25">
      <c r="B132">
        <v>13</v>
      </c>
      <c r="C132">
        <v>190</v>
      </c>
      <c r="D132">
        <v>106</v>
      </c>
      <c r="E132" s="24">
        <v>56</v>
      </c>
      <c r="F132" t="s">
        <v>136</v>
      </c>
    </row>
    <row r="133" spans="2:6" x14ac:dyDescent="0.25">
      <c r="B133">
        <v>13.1</v>
      </c>
      <c r="C133">
        <v>189</v>
      </c>
      <c r="D133">
        <v>106</v>
      </c>
      <c r="E133" s="24">
        <v>56</v>
      </c>
      <c r="F133" t="s">
        <v>136</v>
      </c>
    </row>
    <row r="134" spans="2:6" x14ac:dyDescent="0.25">
      <c r="B134">
        <v>13.2</v>
      </c>
      <c r="C134">
        <v>188</v>
      </c>
      <c r="D134">
        <v>105</v>
      </c>
      <c r="E134" s="24">
        <v>56</v>
      </c>
      <c r="F134" t="s">
        <v>136</v>
      </c>
    </row>
    <row r="135" spans="2:6" x14ac:dyDescent="0.25">
      <c r="B135">
        <v>13.3</v>
      </c>
      <c r="C135">
        <v>187</v>
      </c>
      <c r="D135">
        <v>104</v>
      </c>
      <c r="E135" s="24">
        <v>56</v>
      </c>
      <c r="F135" t="s">
        <v>136</v>
      </c>
    </row>
    <row r="136" spans="2:6" x14ac:dyDescent="0.25">
      <c r="B136">
        <v>13.4</v>
      </c>
      <c r="C136">
        <v>186</v>
      </c>
      <c r="D136">
        <v>103</v>
      </c>
      <c r="E136" s="24">
        <v>56</v>
      </c>
      <c r="F136" t="s">
        <v>136</v>
      </c>
    </row>
    <row r="137" spans="2:6" x14ac:dyDescent="0.25">
      <c r="B137">
        <v>13.5</v>
      </c>
      <c r="C137">
        <v>185</v>
      </c>
      <c r="D137">
        <v>103</v>
      </c>
      <c r="E137" s="24">
        <v>56</v>
      </c>
      <c r="F137" t="s">
        <v>136</v>
      </c>
    </row>
    <row r="138" spans="2:6" x14ac:dyDescent="0.25">
      <c r="B138">
        <v>13.6</v>
      </c>
      <c r="C138">
        <v>184</v>
      </c>
      <c r="D138">
        <v>102</v>
      </c>
      <c r="E138" s="24">
        <v>56</v>
      </c>
      <c r="F138" t="s">
        <v>136</v>
      </c>
    </row>
    <row r="139" spans="2:6" x14ac:dyDescent="0.25">
      <c r="B139">
        <v>13.7</v>
      </c>
      <c r="C139">
        <v>183</v>
      </c>
      <c r="D139">
        <v>101</v>
      </c>
      <c r="E139" s="24">
        <v>56</v>
      </c>
      <c r="F139" t="s">
        <v>136</v>
      </c>
    </row>
    <row r="140" spans="2:6" x14ac:dyDescent="0.25">
      <c r="B140">
        <v>13.8</v>
      </c>
      <c r="C140">
        <v>182</v>
      </c>
      <c r="D140">
        <v>100</v>
      </c>
      <c r="E140" s="24">
        <v>56</v>
      </c>
      <c r="F140" t="s">
        <v>136</v>
      </c>
    </row>
    <row r="141" spans="2:6" x14ac:dyDescent="0.25">
      <c r="B141">
        <v>13.9</v>
      </c>
      <c r="C141">
        <v>181</v>
      </c>
      <c r="D141">
        <v>100</v>
      </c>
      <c r="E141" s="24">
        <v>56</v>
      </c>
      <c r="F141" t="s">
        <v>136</v>
      </c>
    </row>
    <row r="142" spans="2:6" x14ac:dyDescent="0.25">
      <c r="B142">
        <v>14</v>
      </c>
      <c r="C142">
        <v>180</v>
      </c>
      <c r="D142">
        <v>99</v>
      </c>
      <c r="E142" s="24">
        <v>56</v>
      </c>
      <c r="F142" t="s">
        <v>136</v>
      </c>
    </row>
    <row r="143" spans="2:6" x14ac:dyDescent="0.25">
      <c r="B143">
        <v>14.1</v>
      </c>
      <c r="C143">
        <v>179</v>
      </c>
      <c r="D143">
        <v>98</v>
      </c>
      <c r="E143" s="24">
        <v>56</v>
      </c>
      <c r="F143" t="s">
        <v>136</v>
      </c>
    </row>
    <row r="144" spans="2:6" x14ac:dyDescent="0.25">
      <c r="B144">
        <v>14.2</v>
      </c>
      <c r="C144">
        <v>178</v>
      </c>
      <c r="D144">
        <v>97</v>
      </c>
      <c r="E144" s="24">
        <v>56</v>
      </c>
      <c r="F144" t="s">
        <v>136</v>
      </c>
    </row>
    <row r="145" spans="2:6" x14ac:dyDescent="0.25">
      <c r="B145">
        <v>14.3</v>
      </c>
      <c r="C145">
        <v>177</v>
      </c>
      <c r="D145">
        <v>97</v>
      </c>
      <c r="E145" s="24">
        <v>56</v>
      </c>
      <c r="F145" t="s">
        <v>136</v>
      </c>
    </row>
    <row r="146" spans="2:6" x14ac:dyDescent="0.25">
      <c r="B146">
        <v>14.4</v>
      </c>
      <c r="C146">
        <v>175</v>
      </c>
      <c r="D146">
        <v>96</v>
      </c>
      <c r="E146" s="24">
        <v>55</v>
      </c>
      <c r="F146" t="s">
        <v>136</v>
      </c>
    </row>
    <row r="147" spans="2:6" x14ac:dyDescent="0.25">
      <c r="B147">
        <v>14.5</v>
      </c>
      <c r="C147">
        <v>174</v>
      </c>
      <c r="D147">
        <v>95</v>
      </c>
      <c r="E147" s="24">
        <v>55</v>
      </c>
      <c r="F147" t="s">
        <v>136</v>
      </c>
    </row>
    <row r="148" spans="2:6" x14ac:dyDescent="0.25">
      <c r="B148">
        <v>14.6</v>
      </c>
      <c r="C148">
        <v>172</v>
      </c>
      <c r="D148">
        <v>94</v>
      </c>
      <c r="E148" s="24">
        <v>55</v>
      </c>
      <c r="F148" t="s">
        <v>136</v>
      </c>
    </row>
    <row r="149" spans="2:6" x14ac:dyDescent="0.25">
      <c r="B149">
        <v>14.7</v>
      </c>
      <c r="C149">
        <v>171</v>
      </c>
      <c r="D149">
        <v>94</v>
      </c>
      <c r="E149" s="24">
        <v>55</v>
      </c>
      <c r="F149" t="s">
        <v>136</v>
      </c>
    </row>
    <row r="150" spans="2:6" x14ac:dyDescent="0.25">
      <c r="B150">
        <v>14.8</v>
      </c>
      <c r="C150">
        <v>169</v>
      </c>
      <c r="D150">
        <v>93</v>
      </c>
      <c r="E150" s="24">
        <v>54</v>
      </c>
      <c r="F150" t="s">
        <v>136</v>
      </c>
    </row>
    <row r="151" spans="2:6" x14ac:dyDescent="0.25">
      <c r="B151">
        <v>14.9</v>
      </c>
      <c r="C151">
        <v>168</v>
      </c>
      <c r="D151">
        <v>92</v>
      </c>
      <c r="E151" s="24">
        <v>54</v>
      </c>
      <c r="F151" t="s">
        <v>136</v>
      </c>
    </row>
    <row r="152" spans="2:6" x14ac:dyDescent="0.25">
      <c r="B152">
        <v>15</v>
      </c>
      <c r="C152">
        <v>167</v>
      </c>
      <c r="D152">
        <v>91</v>
      </c>
      <c r="E152" s="24">
        <v>54</v>
      </c>
      <c r="F152" t="s">
        <v>137</v>
      </c>
    </row>
    <row r="153" spans="2:6" x14ac:dyDescent="0.25">
      <c r="B153">
        <v>15.1</v>
      </c>
      <c r="C153">
        <v>165</v>
      </c>
      <c r="D153">
        <v>91</v>
      </c>
      <c r="E153" s="24">
        <v>54</v>
      </c>
      <c r="F153" t="s">
        <v>137</v>
      </c>
    </row>
    <row r="154" spans="2:6" x14ac:dyDescent="0.25">
      <c r="B154">
        <v>15.2</v>
      </c>
      <c r="C154">
        <v>164</v>
      </c>
      <c r="D154">
        <v>90</v>
      </c>
      <c r="E154" s="24">
        <v>53</v>
      </c>
      <c r="F154" t="s">
        <v>137</v>
      </c>
    </row>
    <row r="155" spans="2:6" x14ac:dyDescent="0.25">
      <c r="B155">
        <v>15.3</v>
      </c>
      <c r="C155">
        <v>162</v>
      </c>
      <c r="D155">
        <v>89</v>
      </c>
      <c r="E155" s="24">
        <v>53</v>
      </c>
      <c r="F155" t="s">
        <v>137</v>
      </c>
    </row>
    <row r="156" spans="2:6" x14ac:dyDescent="0.25">
      <c r="B156">
        <v>15.4</v>
      </c>
      <c r="C156">
        <v>161</v>
      </c>
      <c r="D156">
        <v>88</v>
      </c>
      <c r="E156" s="24">
        <v>53</v>
      </c>
      <c r="F156" t="s">
        <v>137</v>
      </c>
    </row>
    <row r="157" spans="2:6" x14ac:dyDescent="0.25">
      <c r="B157">
        <v>15.5</v>
      </c>
      <c r="C157">
        <v>159</v>
      </c>
      <c r="D157">
        <v>88</v>
      </c>
      <c r="E157" s="24">
        <v>53</v>
      </c>
      <c r="F157" t="s">
        <v>137</v>
      </c>
    </row>
    <row r="158" spans="2:6" x14ac:dyDescent="0.25">
      <c r="B158">
        <v>15.6</v>
      </c>
      <c r="C158">
        <v>158</v>
      </c>
      <c r="D158">
        <v>87</v>
      </c>
      <c r="E158" s="24">
        <v>52</v>
      </c>
      <c r="F158" t="s">
        <v>137</v>
      </c>
    </row>
    <row r="159" spans="2:6" x14ac:dyDescent="0.25">
      <c r="B159">
        <v>15.7</v>
      </c>
      <c r="C159">
        <v>157</v>
      </c>
      <c r="D159">
        <v>86</v>
      </c>
      <c r="E159" s="24">
        <v>52</v>
      </c>
      <c r="F159" t="s">
        <v>137</v>
      </c>
    </row>
    <row r="160" spans="2:6" x14ac:dyDescent="0.25">
      <c r="B160">
        <v>15.8</v>
      </c>
      <c r="C160">
        <v>155</v>
      </c>
      <c r="D160">
        <v>85</v>
      </c>
      <c r="E160" s="24">
        <v>52</v>
      </c>
      <c r="F160" t="s">
        <v>137</v>
      </c>
    </row>
    <row r="161" spans="2:6" x14ac:dyDescent="0.25">
      <c r="B161">
        <v>15.9</v>
      </c>
      <c r="C161">
        <v>154</v>
      </c>
      <c r="D161">
        <v>85</v>
      </c>
      <c r="E161" s="24">
        <v>52</v>
      </c>
      <c r="F161" t="s">
        <v>137</v>
      </c>
    </row>
    <row r="162" spans="2:6" x14ac:dyDescent="0.25">
      <c r="B162">
        <v>16</v>
      </c>
      <c r="C162">
        <v>152</v>
      </c>
      <c r="D162">
        <v>84</v>
      </c>
      <c r="E162" s="24">
        <v>51</v>
      </c>
      <c r="F162" t="s">
        <v>137</v>
      </c>
    </row>
    <row r="163" spans="2:6" x14ac:dyDescent="0.25">
      <c r="B163">
        <v>16.100000000000001</v>
      </c>
      <c r="C163">
        <v>151</v>
      </c>
      <c r="D163">
        <v>83</v>
      </c>
      <c r="E163" s="24">
        <v>51</v>
      </c>
      <c r="F163" t="s">
        <v>137</v>
      </c>
    </row>
    <row r="164" spans="2:6" x14ac:dyDescent="0.25">
      <c r="B164">
        <v>16.2</v>
      </c>
      <c r="C164">
        <v>149</v>
      </c>
      <c r="D164">
        <v>82</v>
      </c>
      <c r="E164" s="24">
        <v>51</v>
      </c>
      <c r="F164" t="s">
        <v>137</v>
      </c>
    </row>
    <row r="165" spans="2:6" x14ac:dyDescent="0.25">
      <c r="B165">
        <v>16.3</v>
      </c>
      <c r="C165">
        <v>148</v>
      </c>
      <c r="D165">
        <v>82</v>
      </c>
      <c r="E165" s="24">
        <v>51</v>
      </c>
      <c r="F165" t="s">
        <v>137</v>
      </c>
    </row>
    <row r="166" spans="2:6" x14ac:dyDescent="0.25">
      <c r="B166">
        <v>16.399999999999999</v>
      </c>
      <c r="C166">
        <v>147</v>
      </c>
      <c r="D166">
        <v>81</v>
      </c>
      <c r="E166" s="24">
        <v>50</v>
      </c>
      <c r="F166" t="s">
        <v>137</v>
      </c>
    </row>
    <row r="167" spans="2:6" x14ac:dyDescent="0.25">
      <c r="B167">
        <v>16.5</v>
      </c>
      <c r="C167">
        <v>145</v>
      </c>
      <c r="D167">
        <v>80</v>
      </c>
      <c r="E167" s="24">
        <v>50</v>
      </c>
      <c r="F167" t="s">
        <v>137</v>
      </c>
    </row>
    <row r="168" spans="2:6" x14ac:dyDescent="0.25">
      <c r="B168">
        <v>16.600000000000001</v>
      </c>
      <c r="C168">
        <v>144</v>
      </c>
      <c r="D168">
        <v>79</v>
      </c>
      <c r="E168" s="24">
        <v>50</v>
      </c>
      <c r="F168" t="s">
        <v>137</v>
      </c>
    </row>
    <row r="169" spans="2:6" x14ac:dyDescent="0.25">
      <c r="B169">
        <v>16.7</v>
      </c>
      <c r="C169">
        <v>142</v>
      </c>
      <c r="D169">
        <v>78</v>
      </c>
      <c r="E169" s="24">
        <v>50</v>
      </c>
      <c r="F169" t="s">
        <v>137</v>
      </c>
    </row>
    <row r="170" spans="2:6" x14ac:dyDescent="0.25">
      <c r="B170">
        <v>16.8</v>
      </c>
      <c r="C170">
        <v>141</v>
      </c>
      <c r="D170">
        <v>77</v>
      </c>
      <c r="E170" s="24">
        <v>49</v>
      </c>
      <c r="F170" t="s">
        <v>137</v>
      </c>
    </row>
    <row r="171" spans="2:6" x14ac:dyDescent="0.25">
      <c r="B171">
        <v>16.899999999999999</v>
      </c>
      <c r="C171">
        <v>139</v>
      </c>
      <c r="D171">
        <v>76</v>
      </c>
      <c r="E171" s="24">
        <v>49</v>
      </c>
      <c r="F171" t="s">
        <v>137</v>
      </c>
    </row>
    <row r="172" spans="2:6" x14ac:dyDescent="0.25">
      <c r="B172">
        <v>17</v>
      </c>
      <c r="C172">
        <v>138</v>
      </c>
      <c r="D172">
        <v>75</v>
      </c>
      <c r="E172" s="24">
        <v>48</v>
      </c>
      <c r="F172" t="s">
        <v>137</v>
      </c>
    </row>
    <row r="173" spans="2:6" x14ac:dyDescent="0.25">
      <c r="B173">
        <v>17.100000000000001</v>
      </c>
      <c r="C173">
        <v>137</v>
      </c>
      <c r="D173">
        <v>75</v>
      </c>
      <c r="E173" s="24">
        <v>47</v>
      </c>
      <c r="F173" t="s">
        <v>137</v>
      </c>
    </row>
    <row r="174" spans="2:6" x14ac:dyDescent="0.25">
      <c r="B174">
        <v>17.2</v>
      </c>
      <c r="C174">
        <v>135</v>
      </c>
      <c r="D174">
        <v>74</v>
      </c>
      <c r="E174" s="24">
        <v>47</v>
      </c>
      <c r="F174" t="s">
        <v>137</v>
      </c>
    </row>
    <row r="175" spans="2:6" x14ac:dyDescent="0.25">
      <c r="B175">
        <v>17.3</v>
      </c>
      <c r="C175">
        <v>134</v>
      </c>
      <c r="D175">
        <v>73</v>
      </c>
      <c r="E175" s="24">
        <v>46</v>
      </c>
      <c r="F175" t="s">
        <v>137</v>
      </c>
    </row>
    <row r="176" spans="2:6" x14ac:dyDescent="0.25">
      <c r="B176">
        <v>17.399999999999999</v>
      </c>
      <c r="C176">
        <v>132</v>
      </c>
      <c r="D176">
        <v>72</v>
      </c>
      <c r="E176" s="24">
        <v>45</v>
      </c>
      <c r="F176" t="s">
        <v>137</v>
      </c>
    </row>
    <row r="177" spans="2:6" x14ac:dyDescent="0.25">
      <c r="B177">
        <v>17.5</v>
      </c>
      <c r="C177">
        <v>131</v>
      </c>
      <c r="D177">
        <v>72</v>
      </c>
      <c r="E177" s="24">
        <v>45</v>
      </c>
      <c r="F177" t="s">
        <v>137</v>
      </c>
    </row>
    <row r="178" spans="2:6" x14ac:dyDescent="0.25">
      <c r="B178">
        <v>17.600000000000001</v>
      </c>
      <c r="C178">
        <v>129</v>
      </c>
      <c r="D178">
        <v>71</v>
      </c>
      <c r="E178" s="24">
        <v>44</v>
      </c>
      <c r="F178" t="s">
        <v>137</v>
      </c>
    </row>
    <row r="179" spans="2:6" x14ac:dyDescent="0.25">
      <c r="B179">
        <v>17.7</v>
      </c>
      <c r="C179">
        <v>128</v>
      </c>
      <c r="D179">
        <v>70</v>
      </c>
      <c r="E179" s="24">
        <v>43</v>
      </c>
      <c r="F179" t="s">
        <v>137</v>
      </c>
    </row>
    <row r="180" spans="2:6" x14ac:dyDescent="0.25">
      <c r="B180">
        <v>17.8</v>
      </c>
      <c r="C180">
        <v>127</v>
      </c>
      <c r="D180">
        <v>69</v>
      </c>
      <c r="E180" s="24">
        <v>43</v>
      </c>
      <c r="F180" t="s">
        <v>137</v>
      </c>
    </row>
    <row r="181" spans="2:6" x14ac:dyDescent="0.25">
      <c r="B181">
        <v>17.899999999999999</v>
      </c>
      <c r="C181">
        <v>125</v>
      </c>
      <c r="D181">
        <v>69</v>
      </c>
      <c r="E181" s="24">
        <v>42</v>
      </c>
      <c r="F181" t="s">
        <v>137</v>
      </c>
    </row>
    <row r="182" spans="2:6" x14ac:dyDescent="0.25">
      <c r="B182">
        <v>18</v>
      </c>
      <c r="C182">
        <v>124</v>
      </c>
      <c r="D182">
        <v>68</v>
      </c>
      <c r="E182" s="24">
        <v>41</v>
      </c>
      <c r="F182" t="s">
        <v>138</v>
      </c>
    </row>
    <row r="183" spans="2:6" x14ac:dyDescent="0.25">
      <c r="B183">
        <v>18.100000000000001</v>
      </c>
      <c r="C183">
        <v>122</v>
      </c>
      <c r="D183">
        <v>67</v>
      </c>
      <c r="E183" s="24">
        <v>41</v>
      </c>
      <c r="F183" t="s">
        <v>138</v>
      </c>
    </row>
    <row r="184" spans="2:6" x14ac:dyDescent="0.25">
      <c r="B184">
        <v>18.2</v>
      </c>
      <c r="C184">
        <v>121</v>
      </c>
      <c r="D184">
        <v>66</v>
      </c>
      <c r="E184" s="24">
        <v>40</v>
      </c>
      <c r="F184" t="s">
        <v>138</v>
      </c>
    </row>
    <row r="185" spans="2:6" x14ac:dyDescent="0.25">
      <c r="B185">
        <v>18.3</v>
      </c>
      <c r="C185">
        <v>119</v>
      </c>
      <c r="D185">
        <v>66</v>
      </c>
      <c r="E185" s="24">
        <v>39</v>
      </c>
      <c r="F185" t="s">
        <v>138</v>
      </c>
    </row>
    <row r="186" spans="2:6" x14ac:dyDescent="0.25">
      <c r="B186">
        <v>18.399999999999999</v>
      </c>
      <c r="C186">
        <v>118</v>
      </c>
      <c r="D186">
        <v>65</v>
      </c>
      <c r="E186" s="24">
        <v>39</v>
      </c>
      <c r="F186" t="s">
        <v>138</v>
      </c>
    </row>
    <row r="187" spans="2:6" x14ac:dyDescent="0.25">
      <c r="B187">
        <v>18.5</v>
      </c>
      <c r="C187">
        <v>117</v>
      </c>
      <c r="D187">
        <v>64</v>
      </c>
      <c r="E187" s="24">
        <v>38</v>
      </c>
      <c r="F187" t="s">
        <v>138</v>
      </c>
    </row>
    <row r="188" spans="2:6" x14ac:dyDescent="0.25">
      <c r="B188">
        <v>18.600000000000001</v>
      </c>
      <c r="C188">
        <v>115</v>
      </c>
      <c r="D188">
        <v>63</v>
      </c>
      <c r="E188" s="24">
        <v>37</v>
      </c>
      <c r="F188" t="s">
        <v>138</v>
      </c>
    </row>
    <row r="189" spans="2:6" x14ac:dyDescent="0.25">
      <c r="B189">
        <v>18.7</v>
      </c>
      <c r="C189">
        <v>114</v>
      </c>
      <c r="D189">
        <v>63</v>
      </c>
      <c r="E189" s="24">
        <v>37</v>
      </c>
      <c r="F189" t="s">
        <v>138</v>
      </c>
    </row>
    <row r="190" spans="2:6" x14ac:dyDescent="0.25">
      <c r="B190">
        <v>18.8</v>
      </c>
      <c r="C190">
        <v>112</v>
      </c>
      <c r="D190">
        <v>62</v>
      </c>
      <c r="E190" s="24">
        <v>36</v>
      </c>
      <c r="F190" t="s">
        <v>138</v>
      </c>
    </row>
    <row r="191" spans="2:6" x14ac:dyDescent="0.25">
      <c r="B191">
        <v>18.899999999999999</v>
      </c>
      <c r="C191">
        <v>111</v>
      </c>
      <c r="D191">
        <v>61</v>
      </c>
      <c r="E191" s="24">
        <v>35</v>
      </c>
      <c r="F191" t="s">
        <v>138</v>
      </c>
    </row>
    <row r="192" spans="2:6" x14ac:dyDescent="0.25">
      <c r="B192">
        <v>19</v>
      </c>
      <c r="C192">
        <v>109</v>
      </c>
      <c r="D192">
        <v>60</v>
      </c>
      <c r="E192" s="24">
        <v>34</v>
      </c>
      <c r="F192" t="s">
        <v>138</v>
      </c>
    </row>
    <row r="193" spans="2:6" x14ac:dyDescent="0.25">
      <c r="B193">
        <v>19.100000000000001</v>
      </c>
      <c r="C193">
        <v>108</v>
      </c>
      <c r="D193">
        <v>60</v>
      </c>
      <c r="E193" s="24">
        <v>33</v>
      </c>
      <c r="F193" t="s">
        <v>138</v>
      </c>
    </row>
    <row r="194" spans="2:6" x14ac:dyDescent="0.25">
      <c r="B194">
        <v>19.2</v>
      </c>
      <c r="C194">
        <v>107</v>
      </c>
      <c r="D194">
        <v>59</v>
      </c>
      <c r="E194" s="24">
        <v>32</v>
      </c>
      <c r="F194" t="s">
        <v>138</v>
      </c>
    </row>
    <row r="195" spans="2:6" x14ac:dyDescent="0.25">
      <c r="B195">
        <v>19.3</v>
      </c>
      <c r="C195">
        <v>105</v>
      </c>
      <c r="D195">
        <v>58</v>
      </c>
      <c r="E195" s="24">
        <v>31</v>
      </c>
      <c r="F195" t="s">
        <v>138</v>
      </c>
    </row>
    <row r="196" spans="2:6" x14ac:dyDescent="0.25">
      <c r="B196">
        <v>19.399999999999999</v>
      </c>
      <c r="C196">
        <v>104</v>
      </c>
      <c r="D196">
        <v>57</v>
      </c>
      <c r="E196" s="24">
        <v>29</v>
      </c>
      <c r="F196" t="s">
        <v>138</v>
      </c>
    </row>
    <row r="197" spans="2:6" x14ac:dyDescent="0.25">
      <c r="B197">
        <v>19.5</v>
      </c>
      <c r="C197">
        <v>102</v>
      </c>
      <c r="D197">
        <v>57</v>
      </c>
      <c r="E197" s="24">
        <v>28</v>
      </c>
      <c r="F197" t="s">
        <v>138</v>
      </c>
    </row>
    <row r="198" spans="2:6" x14ac:dyDescent="0.25">
      <c r="B198">
        <v>19.600000000000001</v>
      </c>
      <c r="C198">
        <v>101</v>
      </c>
      <c r="D198">
        <v>56</v>
      </c>
      <c r="E198" s="24">
        <v>27</v>
      </c>
      <c r="F198" t="s">
        <v>138</v>
      </c>
    </row>
    <row r="199" spans="2:6" x14ac:dyDescent="0.25">
      <c r="B199">
        <v>19.7</v>
      </c>
      <c r="C199">
        <v>99</v>
      </c>
      <c r="D199">
        <v>55</v>
      </c>
      <c r="E199" s="24">
        <v>26</v>
      </c>
      <c r="F199" t="s">
        <v>138</v>
      </c>
    </row>
    <row r="200" spans="2:6" x14ac:dyDescent="0.25">
      <c r="B200">
        <v>19.8</v>
      </c>
      <c r="C200">
        <v>98</v>
      </c>
      <c r="D200">
        <v>54</v>
      </c>
      <c r="E200" s="24">
        <v>25</v>
      </c>
      <c r="F200" t="s">
        <v>138</v>
      </c>
    </row>
    <row r="201" spans="2:6" x14ac:dyDescent="0.25">
      <c r="B201">
        <v>19.899999999999999</v>
      </c>
      <c r="C201">
        <v>97</v>
      </c>
      <c r="D201">
        <v>54</v>
      </c>
      <c r="E201" s="24">
        <v>24</v>
      </c>
      <c r="F201" t="s">
        <v>138</v>
      </c>
    </row>
    <row r="202" spans="2:6" x14ac:dyDescent="0.25">
      <c r="B202">
        <v>20</v>
      </c>
      <c r="C202">
        <v>95</v>
      </c>
      <c r="D202">
        <v>53</v>
      </c>
      <c r="E202" s="24">
        <v>23</v>
      </c>
      <c r="F202" t="s">
        <v>139</v>
      </c>
    </row>
    <row r="203" spans="2:6" x14ac:dyDescent="0.25">
      <c r="B203">
        <v>20.100000000000001</v>
      </c>
      <c r="C203">
        <v>94</v>
      </c>
      <c r="D203">
        <v>52</v>
      </c>
      <c r="E203" s="24">
        <v>21</v>
      </c>
      <c r="F203" t="s">
        <v>139</v>
      </c>
    </row>
    <row r="204" spans="2:6" x14ac:dyDescent="0.25">
      <c r="B204">
        <v>20.2</v>
      </c>
      <c r="C204">
        <v>92</v>
      </c>
      <c r="D204">
        <v>51</v>
      </c>
      <c r="E204" s="24">
        <v>20</v>
      </c>
      <c r="F204" t="s">
        <v>139</v>
      </c>
    </row>
    <row r="205" spans="2:6" x14ac:dyDescent="0.25">
      <c r="B205">
        <v>20.3</v>
      </c>
      <c r="C205">
        <v>91</v>
      </c>
      <c r="D205">
        <v>51</v>
      </c>
      <c r="E205" s="24">
        <v>19</v>
      </c>
      <c r="F205" t="s">
        <v>139</v>
      </c>
    </row>
    <row r="206" spans="2:6" x14ac:dyDescent="0.25">
      <c r="B206">
        <v>20.399999999999999</v>
      </c>
      <c r="C206">
        <v>89</v>
      </c>
      <c r="D206">
        <v>50</v>
      </c>
      <c r="E206" s="24">
        <v>18</v>
      </c>
      <c r="F206" t="s">
        <v>139</v>
      </c>
    </row>
    <row r="207" spans="2:6" x14ac:dyDescent="0.25">
      <c r="B207">
        <v>20.5</v>
      </c>
      <c r="C207">
        <v>88</v>
      </c>
      <c r="D207">
        <v>49</v>
      </c>
      <c r="E207" s="24">
        <v>17</v>
      </c>
      <c r="F207" t="s">
        <v>139</v>
      </c>
    </row>
    <row r="208" spans="2:6" x14ac:dyDescent="0.25">
      <c r="B208">
        <v>20.6</v>
      </c>
      <c r="C208">
        <v>87</v>
      </c>
      <c r="D208">
        <v>48</v>
      </c>
      <c r="E208" s="24">
        <v>16</v>
      </c>
      <c r="F208" t="s">
        <v>139</v>
      </c>
    </row>
    <row r="209" spans="2:6" x14ac:dyDescent="0.25">
      <c r="B209">
        <v>20.7</v>
      </c>
      <c r="C209">
        <v>85</v>
      </c>
      <c r="D209">
        <v>48</v>
      </c>
      <c r="E209" s="24">
        <v>15</v>
      </c>
      <c r="F209" t="s">
        <v>139</v>
      </c>
    </row>
    <row r="210" spans="2:6" x14ac:dyDescent="0.25">
      <c r="B210">
        <v>20.8</v>
      </c>
      <c r="C210">
        <v>84</v>
      </c>
      <c r="D210">
        <v>47</v>
      </c>
      <c r="E210" s="24">
        <v>13</v>
      </c>
      <c r="F210" t="s">
        <v>139</v>
      </c>
    </row>
    <row r="211" spans="2:6" x14ac:dyDescent="0.25">
      <c r="B211">
        <v>20.9</v>
      </c>
      <c r="C211">
        <v>82</v>
      </c>
      <c r="D211">
        <v>46</v>
      </c>
      <c r="E211" s="24">
        <v>12</v>
      </c>
      <c r="F211" t="s">
        <v>139</v>
      </c>
    </row>
    <row r="212" spans="2:6" x14ac:dyDescent="0.25">
      <c r="B212">
        <v>21</v>
      </c>
      <c r="C212">
        <v>81</v>
      </c>
      <c r="D212">
        <v>45</v>
      </c>
      <c r="E212" s="24">
        <v>11</v>
      </c>
      <c r="F212" t="s">
        <v>139</v>
      </c>
    </row>
    <row r="213" spans="2:6" x14ac:dyDescent="0.25">
      <c r="B213">
        <v>21.1</v>
      </c>
      <c r="C213">
        <v>79</v>
      </c>
      <c r="D213">
        <v>45</v>
      </c>
      <c r="E213" s="24">
        <v>10</v>
      </c>
      <c r="F213" t="s">
        <v>139</v>
      </c>
    </row>
    <row r="214" spans="2:6" x14ac:dyDescent="0.25">
      <c r="B214">
        <v>21.2</v>
      </c>
      <c r="C214">
        <v>78</v>
      </c>
      <c r="D214">
        <v>44</v>
      </c>
      <c r="E214" s="24">
        <v>9</v>
      </c>
      <c r="F214" t="s">
        <v>139</v>
      </c>
    </row>
    <row r="215" spans="2:6" x14ac:dyDescent="0.25">
      <c r="B215">
        <v>21.3</v>
      </c>
      <c r="C215">
        <v>77</v>
      </c>
      <c r="D215">
        <v>43</v>
      </c>
      <c r="E215" s="24">
        <v>8</v>
      </c>
      <c r="F215" t="s">
        <v>139</v>
      </c>
    </row>
    <row r="216" spans="2:6" x14ac:dyDescent="0.25">
      <c r="B216">
        <v>21.4</v>
      </c>
      <c r="C216">
        <v>75</v>
      </c>
      <c r="D216">
        <v>42</v>
      </c>
      <c r="E216" s="24">
        <v>9</v>
      </c>
      <c r="F216" t="s">
        <v>139</v>
      </c>
    </row>
    <row r="217" spans="2:6" x14ac:dyDescent="0.25">
      <c r="B217">
        <v>21.5</v>
      </c>
      <c r="C217">
        <v>74</v>
      </c>
      <c r="D217">
        <v>42</v>
      </c>
      <c r="E217" s="24">
        <v>9</v>
      </c>
      <c r="F217" t="s">
        <v>139</v>
      </c>
    </row>
    <row r="218" spans="2:6" x14ac:dyDescent="0.25">
      <c r="B218">
        <v>21.6</v>
      </c>
      <c r="C218">
        <v>72</v>
      </c>
      <c r="D218">
        <v>41</v>
      </c>
      <c r="E218" s="24">
        <v>10</v>
      </c>
      <c r="F218" t="s">
        <v>139</v>
      </c>
    </row>
    <row r="219" spans="2:6" x14ac:dyDescent="0.25">
      <c r="B219">
        <v>21.7</v>
      </c>
      <c r="C219">
        <v>71</v>
      </c>
      <c r="D219">
        <v>40</v>
      </c>
      <c r="E219" s="24">
        <v>10</v>
      </c>
      <c r="F219" t="s">
        <v>139</v>
      </c>
    </row>
    <row r="220" spans="2:6" x14ac:dyDescent="0.25">
      <c r="B220">
        <v>21.8</v>
      </c>
      <c r="C220">
        <v>69</v>
      </c>
      <c r="D220">
        <v>39</v>
      </c>
      <c r="E220" s="24">
        <v>11</v>
      </c>
      <c r="F220" t="s">
        <v>139</v>
      </c>
    </row>
    <row r="221" spans="2:6" x14ac:dyDescent="0.25">
      <c r="B221">
        <v>21.9</v>
      </c>
      <c r="C221">
        <v>68</v>
      </c>
      <c r="D221">
        <v>39</v>
      </c>
      <c r="E221" s="24">
        <v>11</v>
      </c>
      <c r="F221" t="s">
        <v>139</v>
      </c>
    </row>
    <row r="222" spans="2:6" x14ac:dyDescent="0.25">
      <c r="B222">
        <v>22</v>
      </c>
      <c r="C222">
        <v>67</v>
      </c>
      <c r="D222">
        <v>38</v>
      </c>
      <c r="E222" s="24">
        <v>12</v>
      </c>
      <c r="F222" t="s">
        <v>139</v>
      </c>
    </row>
    <row r="223" spans="2:6" x14ac:dyDescent="0.25">
      <c r="B223">
        <v>22.1</v>
      </c>
      <c r="C223">
        <v>65</v>
      </c>
      <c r="D223">
        <v>37</v>
      </c>
      <c r="E223" s="24">
        <v>12</v>
      </c>
      <c r="F223" t="s">
        <v>139</v>
      </c>
    </row>
    <row r="224" spans="2:6" x14ac:dyDescent="0.25">
      <c r="B224">
        <v>22.2</v>
      </c>
      <c r="C224">
        <v>64</v>
      </c>
      <c r="D224">
        <v>36</v>
      </c>
      <c r="E224" s="24">
        <v>13</v>
      </c>
      <c r="F224" t="s">
        <v>139</v>
      </c>
    </row>
    <row r="225" spans="2:6" x14ac:dyDescent="0.25">
      <c r="B225">
        <v>22.3</v>
      </c>
      <c r="C225">
        <v>62</v>
      </c>
      <c r="D225">
        <v>36</v>
      </c>
      <c r="E225" s="24">
        <v>13</v>
      </c>
      <c r="F225" t="s">
        <v>139</v>
      </c>
    </row>
    <row r="226" spans="2:6" x14ac:dyDescent="0.25">
      <c r="B226">
        <v>22.4</v>
      </c>
      <c r="C226">
        <v>61</v>
      </c>
      <c r="D226">
        <v>35</v>
      </c>
      <c r="E226" s="24">
        <v>14</v>
      </c>
      <c r="F226" t="s">
        <v>139</v>
      </c>
    </row>
    <row r="227" spans="2:6" x14ac:dyDescent="0.25">
      <c r="B227">
        <v>22.5</v>
      </c>
      <c r="C227">
        <v>59</v>
      </c>
      <c r="D227">
        <v>34</v>
      </c>
      <c r="E227" s="24">
        <v>14</v>
      </c>
      <c r="F227" t="s">
        <v>139</v>
      </c>
    </row>
    <row r="228" spans="2:6" x14ac:dyDescent="0.25">
      <c r="B228">
        <v>22.6</v>
      </c>
      <c r="C228">
        <v>58</v>
      </c>
      <c r="D228">
        <v>33</v>
      </c>
      <c r="E228" s="24">
        <v>15</v>
      </c>
      <c r="F228" t="s">
        <v>139</v>
      </c>
    </row>
    <row r="229" spans="2:6" x14ac:dyDescent="0.25">
      <c r="B229">
        <v>22.7</v>
      </c>
      <c r="C229">
        <v>57</v>
      </c>
      <c r="D229">
        <v>33</v>
      </c>
      <c r="E229" s="24">
        <v>15</v>
      </c>
      <c r="F229" t="s">
        <v>139</v>
      </c>
    </row>
    <row r="230" spans="2:6" x14ac:dyDescent="0.25">
      <c r="B230">
        <v>22.8</v>
      </c>
      <c r="C230">
        <v>55</v>
      </c>
      <c r="D230">
        <v>32</v>
      </c>
      <c r="E230" s="24">
        <v>16</v>
      </c>
      <c r="F230" t="s">
        <v>139</v>
      </c>
    </row>
    <row r="231" spans="2:6" x14ac:dyDescent="0.25">
      <c r="B231">
        <v>22.9</v>
      </c>
      <c r="C231">
        <v>54</v>
      </c>
      <c r="D231">
        <v>31</v>
      </c>
      <c r="E231" s="24">
        <v>16</v>
      </c>
      <c r="F231" t="s">
        <v>139</v>
      </c>
    </row>
    <row r="232" spans="2:6" x14ac:dyDescent="0.25">
      <c r="B232">
        <v>23</v>
      </c>
      <c r="C232">
        <v>52</v>
      </c>
      <c r="D232">
        <v>30</v>
      </c>
      <c r="E232" s="24">
        <v>17</v>
      </c>
      <c r="F232" t="s">
        <v>139</v>
      </c>
    </row>
    <row r="233" spans="2:6" x14ac:dyDescent="0.25">
      <c r="B233">
        <v>23.1</v>
      </c>
      <c r="C233">
        <v>51</v>
      </c>
      <c r="D233">
        <v>30</v>
      </c>
      <c r="E233" s="24">
        <v>17</v>
      </c>
      <c r="F233" t="s">
        <v>139</v>
      </c>
    </row>
    <row r="234" spans="2:6" x14ac:dyDescent="0.25">
      <c r="B234">
        <v>23.2</v>
      </c>
      <c r="C234">
        <v>49</v>
      </c>
      <c r="D234">
        <v>29</v>
      </c>
      <c r="E234" s="24">
        <v>18</v>
      </c>
      <c r="F234" t="s">
        <v>139</v>
      </c>
    </row>
    <row r="235" spans="2:6" x14ac:dyDescent="0.25">
      <c r="B235">
        <v>23.3</v>
      </c>
      <c r="C235">
        <v>48</v>
      </c>
      <c r="D235">
        <v>28</v>
      </c>
      <c r="E235" s="24">
        <v>18</v>
      </c>
      <c r="F235" t="s">
        <v>139</v>
      </c>
    </row>
    <row r="236" spans="2:6" x14ac:dyDescent="0.25">
      <c r="B236">
        <v>23.4</v>
      </c>
      <c r="C236">
        <v>47</v>
      </c>
      <c r="D236">
        <v>27</v>
      </c>
      <c r="E236" s="24">
        <v>19</v>
      </c>
      <c r="F236" t="s">
        <v>139</v>
      </c>
    </row>
    <row r="237" spans="2:6" x14ac:dyDescent="0.25">
      <c r="B237">
        <v>23.5</v>
      </c>
      <c r="C237">
        <v>45</v>
      </c>
      <c r="D237">
        <v>27</v>
      </c>
      <c r="E237" s="24">
        <v>19</v>
      </c>
      <c r="F237" t="s">
        <v>139</v>
      </c>
    </row>
    <row r="238" spans="2:6" x14ac:dyDescent="0.25">
      <c r="B238">
        <v>23.6</v>
      </c>
      <c r="C238">
        <v>44</v>
      </c>
      <c r="D238">
        <v>26</v>
      </c>
      <c r="E238" s="24">
        <v>20</v>
      </c>
      <c r="F238" t="s">
        <v>139</v>
      </c>
    </row>
    <row r="239" spans="2:6" x14ac:dyDescent="0.25">
      <c r="B239">
        <v>23.7</v>
      </c>
      <c r="C239">
        <v>42</v>
      </c>
      <c r="D239">
        <v>25</v>
      </c>
      <c r="E239" s="24">
        <v>20</v>
      </c>
      <c r="F239" t="s">
        <v>139</v>
      </c>
    </row>
    <row r="240" spans="2:6" x14ac:dyDescent="0.25">
      <c r="B240">
        <v>23.8</v>
      </c>
      <c r="C240">
        <v>41</v>
      </c>
      <c r="D240">
        <v>24</v>
      </c>
      <c r="E240" s="24">
        <v>21</v>
      </c>
      <c r="F240" t="s">
        <v>139</v>
      </c>
    </row>
    <row r="241" spans="2:6" x14ac:dyDescent="0.25">
      <c r="B241">
        <v>23.9</v>
      </c>
      <c r="C241">
        <v>39</v>
      </c>
      <c r="D241">
        <v>24</v>
      </c>
      <c r="E241" s="24">
        <v>21</v>
      </c>
      <c r="F241" t="s">
        <v>139</v>
      </c>
    </row>
    <row r="242" spans="2:6" x14ac:dyDescent="0.25">
      <c r="B242">
        <v>24</v>
      </c>
      <c r="C242">
        <v>38</v>
      </c>
      <c r="D242">
        <v>23</v>
      </c>
      <c r="E242" s="24">
        <v>22</v>
      </c>
      <c r="F242" t="s">
        <v>140</v>
      </c>
    </row>
    <row r="243" spans="2:6" x14ac:dyDescent="0.25">
      <c r="B243">
        <v>24.1</v>
      </c>
      <c r="C243">
        <v>37</v>
      </c>
      <c r="D243">
        <v>22</v>
      </c>
      <c r="E243" s="24">
        <v>21</v>
      </c>
      <c r="F243" t="s">
        <v>140</v>
      </c>
    </row>
    <row r="244" spans="2:6" x14ac:dyDescent="0.25">
      <c r="B244">
        <v>24.2</v>
      </c>
      <c r="C244">
        <v>37</v>
      </c>
      <c r="D244">
        <v>22</v>
      </c>
      <c r="E244" s="24">
        <v>21</v>
      </c>
      <c r="F244" t="s">
        <v>140</v>
      </c>
    </row>
    <row r="245" spans="2:6" x14ac:dyDescent="0.25">
      <c r="B245">
        <v>24.3</v>
      </c>
      <c r="C245">
        <v>36</v>
      </c>
      <c r="D245">
        <v>22</v>
      </c>
      <c r="E245" s="24">
        <v>21</v>
      </c>
      <c r="F245" t="s">
        <v>140</v>
      </c>
    </row>
    <row r="246" spans="2:6" x14ac:dyDescent="0.25">
      <c r="B246">
        <v>24.4</v>
      </c>
      <c r="C246">
        <v>36</v>
      </c>
      <c r="D246">
        <v>21</v>
      </c>
      <c r="E246" s="24">
        <v>20</v>
      </c>
      <c r="F246" t="s">
        <v>140</v>
      </c>
    </row>
    <row r="247" spans="2:6" x14ac:dyDescent="0.25">
      <c r="B247">
        <v>24.5</v>
      </c>
      <c r="C247">
        <v>35</v>
      </c>
      <c r="D247">
        <v>21</v>
      </c>
      <c r="E247" s="24">
        <v>20</v>
      </c>
      <c r="F247" t="s">
        <v>140</v>
      </c>
    </row>
    <row r="248" spans="2:6" x14ac:dyDescent="0.25">
      <c r="B248">
        <v>24.6</v>
      </c>
      <c r="C248">
        <v>35</v>
      </c>
      <c r="D248">
        <v>21</v>
      </c>
      <c r="E248" s="24">
        <v>20</v>
      </c>
      <c r="F248" t="s">
        <v>140</v>
      </c>
    </row>
    <row r="249" spans="2:6" x14ac:dyDescent="0.25">
      <c r="B249">
        <v>24.7</v>
      </c>
      <c r="C249">
        <v>34</v>
      </c>
      <c r="D249">
        <v>20</v>
      </c>
      <c r="E249" s="24">
        <v>19</v>
      </c>
      <c r="F249" t="s">
        <v>140</v>
      </c>
    </row>
    <row r="250" spans="2:6" x14ac:dyDescent="0.25">
      <c r="B250">
        <v>24.8</v>
      </c>
      <c r="C250">
        <v>34</v>
      </c>
      <c r="D250">
        <v>20</v>
      </c>
      <c r="E250" s="24">
        <v>19</v>
      </c>
      <c r="F250" t="s">
        <v>140</v>
      </c>
    </row>
    <row r="251" spans="2:6" x14ac:dyDescent="0.25">
      <c r="B251">
        <v>24.9</v>
      </c>
      <c r="C251">
        <v>33</v>
      </c>
      <c r="D251">
        <v>20</v>
      </c>
      <c r="E251" s="24">
        <v>19</v>
      </c>
      <c r="F251" t="s">
        <v>140</v>
      </c>
    </row>
    <row r="252" spans="2:6" x14ac:dyDescent="0.25">
      <c r="B252">
        <v>25</v>
      </c>
      <c r="C252">
        <v>33</v>
      </c>
      <c r="D252">
        <v>19</v>
      </c>
      <c r="E252" s="24">
        <v>18</v>
      </c>
      <c r="F252" t="s">
        <v>140</v>
      </c>
    </row>
    <row r="253" spans="2:6" x14ac:dyDescent="0.25">
      <c r="B253">
        <v>25.1</v>
      </c>
      <c r="C253">
        <v>32</v>
      </c>
      <c r="D253">
        <v>19</v>
      </c>
      <c r="E253" s="24">
        <v>18</v>
      </c>
      <c r="F253" t="s">
        <v>140</v>
      </c>
    </row>
    <row r="254" spans="2:6" x14ac:dyDescent="0.25">
      <c r="B254">
        <v>25.2</v>
      </c>
      <c r="C254">
        <v>32</v>
      </c>
      <c r="D254">
        <v>19</v>
      </c>
      <c r="E254" s="24">
        <v>18</v>
      </c>
      <c r="F254" t="s">
        <v>140</v>
      </c>
    </row>
    <row r="255" spans="2:6" x14ac:dyDescent="0.25">
      <c r="B255">
        <v>25.3</v>
      </c>
      <c r="C255">
        <v>31</v>
      </c>
      <c r="D255">
        <v>18</v>
      </c>
      <c r="E255" s="24">
        <v>17</v>
      </c>
      <c r="F255" t="s">
        <v>140</v>
      </c>
    </row>
    <row r="256" spans="2:6" x14ac:dyDescent="0.25">
      <c r="B256">
        <v>25.4</v>
      </c>
      <c r="C256">
        <v>31</v>
      </c>
      <c r="D256">
        <v>18</v>
      </c>
      <c r="E256" s="24">
        <v>17</v>
      </c>
      <c r="F256" t="s">
        <v>140</v>
      </c>
    </row>
    <row r="257" spans="2:6" x14ac:dyDescent="0.25">
      <c r="B257">
        <v>25.5</v>
      </c>
      <c r="C257">
        <v>30</v>
      </c>
      <c r="D257">
        <v>18</v>
      </c>
      <c r="E257" s="24">
        <v>17</v>
      </c>
      <c r="F257" t="s">
        <v>140</v>
      </c>
    </row>
    <row r="258" spans="2:6" x14ac:dyDescent="0.25">
      <c r="B258">
        <v>25.6</v>
      </c>
      <c r="C258">
        <v>30</v>
      </c>
      <c r="D258">
        <v>17</v>
      </c>
      <c r="E258" s="24">
        <v>16</v>
      </c>
      <c r="F258" t="s">
        <v>140</v>
      </c>
    </row>
    <row r="259" spans="2:6" x14ac:dyDescent="0.25">
      <c r="B259">
        <v>25.7</v>
      </c>
      <c r="C259">
        <v>29</v>
      </c>
      <c r="D259">
        <v>17</v>
      </c>
      <c r="E259" s="24">
        <v>16</v>
      </c>
      <c r="F259" t="s">
        <v>140</v>
      </c>
    </row>
    <row r="260" spans="2:6" x14ac:dyDescent="0.25">
      <c r="B260">
        <v>25.8</v>
      </c>
      <c r="C260">
        <v>29</v>
      </c>
      <c r="D260">
        <v>17</v>
      </c>
      <c r="E260" s="24">
        <v>16</v>
      </c>
      <c r="F260" t="s">
        <v>140</v>
      </c>
    </row>
    <row r="261" spans="2:6" x14ac:dyDescent="0.25">
      <c r="B261">
        <v>25.9</v>
      </c>
      <c r="C261">
        <v>28</v>
      </c>
      <c r="D261">
        <v>16</v>
      </c>
      <c r="E261" s="24">
        <v>15</v>
      </c>
      <c r="F261" t="s">
        <v>140</v>
      </c>
    </row>
    <row r="262" spans="2:6" x14ac:dyDescent="0.25">
      <c r="B262">
        <v>26</v>
      </c>
      <c r="C262">
        <v>28</v>
      </c>
      <c r="D262">
        <v>16</v>
      </c>
      <c r="E262" s="24">
        <v>15</v>
      </c>
      <c r="F262" t="s">
        <v>140</v>
      </c>
    </row>
    <row r="263" spans="2:6" x14ac:dyDescent="0.25">
      <c r="B263">
        <v>26.1</v>
      </c>
      <c r="C263">
        <v>27</v>
      </c>
      <c r="D263">
        <v>16</v>
      </c>
      <c r="E263" s="24">
        <v>15</v>
      </c>
      <c r="F263" t="s">
        <v>140</v>
      </c>
    </row>
    <row r="264" spans="2:6" x14ac:dyDescent="0.25">
      <c r="B264">
        <v>26.2</v>
      </c>
      <c r="C264">
        <v>27</v>
      </c>
      <c r="D264">
        <v>15</v>
      </c>
      <c r="E264" s="24">
        <v>14</v>
      </c>
      <c r="F264" t="s">
        <v>140</v>
      </c>
    </row>
    <row r="265" spans="2:6" x14ac:dyDescent="0.25">
      <c r="B265">
        <v>26.3</v>
      </c>
      <c r="C265">
        <v>26</v>
      </c>
      <c r="D265">
        <v>15</v>
      </c>
      <c r="E265" s="24">
        <v>14</v>
      </c>
      <c r="F265" t="s">
        <v>140</v>
      </c>
    </row>
    <row r="266" spans="2:6" x14ac:dyDescent="0.25">
      <c r="B266">
        <v>26.4</v>
      </c>
      <c r="C266">
        <v>26</v>
      </c>
      <c r="D266">
        <v>15</v>
      </c>
      <c r="E266" s="24">
        <v>14</v>
      </c>
      <c r="F266" t="s">
        <v>140</v>
      </c>
    </row>
    <row r="267" spans="2:6" x14ac:dyDescent="0.25">
      <c r="B267">
        <v>26.5</v>
      </c>
      <c r="C267">
        <v>25</v>
      </c>
      <c r="D267">
        <v>14</v>
      </c>
      <c r="E267" s="24">
        <v>13</v>
      </c>
      <c r="F267" t="s">
        <v>140</v>
      </c>
    </row>
    <row r="268" spans="2:6" x14ac:dyDescent="0.25">
      <c r="B268">
        <v>26.6</v>
      </c>
      <c r="C268">
        <v>25</v>
      </c>
      <c r="D268">
        <v>14</v>
      </c>
      <c r="E268" s="24">
        <v>13</v>
      </c>
      <c r="F268" t="s">
        <v>140</v>
      </c>
    </row>
    <row r="269" spans="2:6" x14ac:dyDescent="0.25">
      <c r="B269">
        <v>26.7</v>
      </c>
      <c r="C269">
        <v>24</v>
      </c>
      <c r="D269">
        <v>14</v>
      </c>
      <c r="E269" s="24">
        <v>13</v>
      </c>
      <c r="F269" t="s">
        <v>140</v>
      </c>
    </row>
    <row r="270" spans="2:6" x14ac:dyDescent="0.25">
      <c r="B270">
        <v>26.8</v>
      </c>
      <c r="C270">
        <v>24</v>
      </c>
      <c r="D270">
        <v>13</v>
      </c>
      <c r="E270" s="24">
        <v>12</v>
      </c>
      <c r="F270" t="s">
        <v>140</v>
      </c>
    </row>
    <row r="271" spans="2:6" x14ac:dyDescent="0.25">
      <c r="B271">
        <v>26.9</v>
      </c>
      <c r="C271">
        <v>23</v>
      </c>
      <c r="D271">
        <v>13</v>
      </c>
      <c r="E271" s="24">
        <v>12</v>
      </c>
      <c r="F271" t="s">
        <v>140</v>
      </c>
    </row>
    <row r="272" spans="2:6" x14ac:dyDescent="0.25">
      <c r="B272">
        <v>27</v>
      </c>
      <c r="C272">
        <v>23</v>
      </c>
      <c r="D272">
        <v>13</v>
      </c>
      <c r="E272" s="24">
        <v>12</v>
      </c>
      <c r="F272" t="s">
        <v>140</v>
      </c>
    </row>
    <row r="273" spans="2:6" x14ac:dyDescent="0.25">
      <c r="B273">
        <v>27.1</v>
      </c>
      <c r="C273">
        <v>22</v>
      </c>
      <c r="D273">
        <v>12</v>
      </c>
      <c r="E273" s="24">
        <v>11</v>
      </c>
      <c r="F273" t="s">
        <v>140</v>
      </c>
    </row>
    <row r="274" spans="2:6" x14ac:dyDescent="0.25">
      <c r="B274">
        <v>27.2</v>
      </c>
      <c r="C274">
        <v>22</v>
      </c>
      <c r="D274">
        <v>12</v>
      </c>
      <c r="E274" s="24">
        <v>11</v>
      </c>
      <c r="F274" t="s">
        <v>140</v>
      </c>
    </row>
    <row r="275" spans="2:6" x14ac:dyDescent="0.25">
      <c r="B275">
        <v>27.3</v>
      </c>
      <c r="C275">
        <v>21</v>
      </c>
      <c r="D275">
        <v>12</v>
      </c>
      <c r="E275" s="24">
        <v>11</v>
      </c>
      <c r="F275" t="s">
        <v>140</v>
      </c>
    </row>
    <row r="276" spans="2:6" x14ac:dyDescent="0.25">
      <c r="B276">
        <v>27.4</v>
      </c>
      <c r="C276">
        <v>21</v>
      </c>
      <c r="D276">
        <v>11</v>
      </c>
      <c r="E276" s="24">
        <v>10</v>
      </c>
      <c r="F276" t="s">
        <v>140</v>
      </c>
    </row>
    <row r="277" spans="2:6" x14ac:dyDescent="0.25">
      <c r="B277">
        <v>27.5</v>
      </c>
      <c r="C277">
        <v>20</v>
      </c>
      <c r="D277">
        <v>11</v>
      </c>
      <c r="E277" s="24">
        <v>10</v>
      </c>
      <c r="F277" t="s">
        <v>140</v>
      </c>
    </row>
    <row r="278" spans="2:6" x14ac:dyDescent="0.25">
      <c r="B278">
        <v>27.6</v>
      </c>
      <c r="C278">
        <v>20</v>
      </c>
      <c r="D278">
        <v>11</v>
      </c>
      <c r="E278" s="24">
        <v>10</v>
      </c>
      <c r="F278" t="s">
        <v>140</v>
      </c>
    </row>
    <row r="279" spans="2:6" x14ac:dyDescent="0.25">
      <c r="B279">
        <v>27.7</v>
      </c>
      <c r="C279">
        <v>19</v>
      </c>
      <c r="D279">
        <v>10</v>
      </c>
      <c r="E279" s="24">
        <v>9</v>
      </c>
      <c r="F279" t="s">
        <v>140</v>
      </c>
    </row>
    <row r="280" spans="2:6" x14ac:dyDescent="0.25">
      <c r="B280">
        <v>27.8</v>
      </c>
      <c r="C280">
        <v>19</v>
      </c>
      <c r="D280">
        <v>10</v>
      </c>
      <c r="E280" s="24">
        <v>9</v>
      </c>
      <c r="F280" t="s">
        <v>140</v>
      </c>
    </row>
    <row r="281" spans="2:6" x14ac:dyDescent="0.25">
      <c r="B281">
        <v>27.9</v>
      </c>
      <c r="C281">
        <v>18</v>
      </c>
      <c r="D281">
        <v>10</v>
      </c>
      <c r="E281" s="24">
        <v>9</v>
      </c>
      <c r="F281" t="s">
        <v>140</v>
      </c>
    </row>
    <row r="282" spans="2:6" x14ac:dyDescent="0.25">
      <c r="B282">
        <v>28</v>
      </c>
      <c r="C282">
        <v>18</v>
      </c>
      <c r="D282">
        <v>9</v>
      </c>
      <c r="E282" s="24">
        <v>8</v>
      </c>
      <c r="F282" t="s">
        <v>140</v>
      </c>
    </row>
    <row r="283" spans="2:6" x14ac:dyDescent="0.25">
      <c r="B283">
        <v>28.1</v>
      </c>
      <c r="C283">
        <v>17</v>
      </c>
      <c r="D283">
        <v>9</v>
      </c>
      <c r="E283" s="24">
        <v>8</v>
      </c>
      <c r="F283" t="s">
        <v>140</v>
      </c>
    </row>
    <row r="284" spans="2:6" x14ac:dyDescent="0.25">
      <c r="B284">
        <v>28.2</v>
      </c>
      <c r="C284">
        <v>17</v>
      </c>
      <c r="D284">
        <v>9</v>
      </c>
      <c r="E284" s="24">
        <v>8</v>
      </c>
      <c r="F284" t="s">
        <v>140</v>
      </c>
    </row>
    <row r="285" spans="2:6" x14ac:dyDescent="0.25">
      <c r="B285">
        <v>28.3</v>
      </c>
      <c r="C285">
        <v>16</v>
      </c>
      <c r="D285">
        <v>8</v>
      </c>
      <c r="E285" s="24">
        <v>7</v>
      </c>
      <c r="F285" t="s">
        <v>140</v>
      </c>
    </row>
    <row r="286" spans="2:6" x14ac:dyDescent="0.25">
      <c r="B286">
        <v>28.4</v>
      </c>
      <c r="C286">
        <v>16</v>
      </c>
      <c r="D286">
        <v>8</v>
      </c>
      <c r="E286" s="24">
        <v>7</v>
      </c>
      <c r="F286" t="s">
        <v>140</v>
      </c>
    </row>
    <row r="287" spans="2:6" x14ac:dyDescent="0.25">
      <c r="B287">
        <v>28.5</v>
      </c>
      <c r="C287">
        <v>15</v>
      </c>
      <c r="D287">
        <v>8</v>
      </c>
      <c r="E287" s="24">
        <v>7</v>
      </c>
      <c r="F287" t="s">
        <v>140</v>
      </c>
    </row>
    <row r="288" spans="2:6" x14ac:dyDescent="0.25">
      <c r="B288">
        <v>28.6</v>
      </c>
      <c r="C288">
        <v>15</v>
      </c>
      <c r="D288">
        <v>7</v>
      </c>
      <c r="E288" s="24">
        <v>6</v>
      </c>
      <c r="F288" t="s">
        <v>140</v>
      </c>
    </row>
    <row r="289" spans="2:6" x14ac:dyDescent="0.25">
      <c r="B289">
        <v>28.7</v>
      </c>
      <c r="C289">
        <v>14</v>
      </c>
      <c r="D289">
        <v>7</v>
      </c>
      <c r="E289" s="24">
        <v>6</v>
      </c>
      <c r="F289" t="s">
        <v>140</v>
      </c>
    </row>
    <row r="290" spans="2:6" x14ac:dyDescent="0.25">
      <c r="B290">
        <v>28.8</v>
      </c>
      <c r="C290">
        <v>14</v>
      </c>
      <c r="D290">
        <v>7</v>
      </c>
      <c r="E290" s="24">
        <v>6</v>
      </c>
      <c r="F290" t="s">
        <v>140</v>
      </c>
    </row>
    <row r="291" spans="2:6" x14ac:dyDescent="0.25">
      <c r="B291">
        <v>28.9</v>
      </c>
      <c r="C291">
        <v>13</v>
      </c>
      <c r="D291">
        <v>6</v>
      </c>
      <c r="E291" s="24">
        <v>5</v>
      </c>
      <c r="F291" t="s">
        <v>140</v>
      </c>
    </row>
    <row r="292" spans="2:6" x14ac:dyDescent="0.25">
      <c r="B292">
        <v>29</v>
      </c>
      <c r="C292">
        <v>13</v>
      </c>
      <c r="D292">
        <v>6</v>
      </c>
      <c r="E292" s="24">
        <v>5</v>
      </c>
      <c r="F292" t="s">
        <v>140</v>
      </c>
    </row>
    <row r="293" spans="2:6" x14ac:dyDescent="0.25">
      <c r="B293">
        <v>29.1</v>
      </c>
      <c r="C293">
        <v>12</v>
      </c>
      <c r="D293">
        <v>6</v>
      </c>
      <c r="E293" s="24">
        <v>5</v>
      </c>
      <c r="F293" t="s">
        <v>140</v>
      </c>
    </row>
    <row r="294" spans="2:6" x14ac:dyDescent="0.25">
      <c r="B294">
        <v>29.2</v>
      </c>
      <c r="C294">
        <v>12</v>
      </c>
      <c r="D294">
        <v>5</v>
      </c>
      <c r="E294" s="24">
        <v>4</v>
      </c>
      <c r="F294" t="s">
        <v>140</v>
      </c>
    </row>
    <row r="295" spans="2:6" x14ac:dyDescent="0.25">
      <c r="B295">
        <v>29.3</v>
      </c>
      <c r="C295">
        <v>11</v>
      </c>
      <c r="D295">
        <v>5</v>
      </c>
      <c r="E295" s="24">
        <v>4</v>
      </c>
      <c r="F295" t="s">
        <v>140</v>
      </c>
    </row>
    <row r="296" spans="2:6" x14ac:dyDescent="0.25">
      <c r="B296">
        <v>29.4</v>
      </c>
      <c r="C296">
        <v>11</v>
      </c>
      <c r="D296">
        <v>5</v>
      </c>
      <c r="E296" s="24">
        <v>4</v>
      </c>
      <c r="F296" t="s">
        <v>140</v>
      </c>
    </row>
    <row r="297" spans="2:6" x14ac:dyDescent="0.25">
      <c r="B297">
        <v>29.5</v>
      </c>
      <c r="C297">
        <v>10</v>
      </c>
      <c r="D297">
        <v>4</v>
      </c>
      <c r="E297" s="24">
        <v>3</v>
      </c>
      <c r="F297" t="s">
        <v>140</v>
      </c>
    </row>
    <row r="298" spans="2:6" x14ac:dyDescent="0.25">
      <c r="B298">
        <v>29.6</v>
      </c>
      <c r="C298">
        <v>10</v>
      </c>
      <c r="D298">
        <v>4</v>
      </c>
      <c r="E298" s="24">
        <v>3</v>
      </c>
      <c r="F298" t="s">
        <v>140</v>
      </c>
    </row>
    <row r="299" spans="2:6" x14ac:dyDescent="0.25">
      <c r="B299">
        <v>29.7</v>
      </c>
      <c r="C299">
        <v>9</v>
      </c>
      <c r="D299">
        <v>4</v>
      </c>
      <c r="E299" s="24">
        <v>3</v>
      </c>
      <c r="F299" t="s">
        <v>140</v>
      </c>
    </row>
    <row r="300" spans="2:6" x14ac:dyDescent="0.25">
      <c r="B300">
        <v>29.8</v>
      </c>
      <c r="C300">
        <v>9</v>
      </c>
      <c r="D300">
        <v>3</v>
      </c>
      <c r="E300" s="24">
        <v>2</v>
      </c>
      <c r="F300" t="s">
        <v>140</v>
      </c>
    </row>
    <row r="301" spans="2:6" x14ac:dyDescent="0.25">
      <c r="B301">
        <v>29.9</v>
      </c>
      <c r="C301">
        <v>8</v>
      </c>
      <c r="D301">
        <v>3</v>
      </c>
      <c r="E301" s="24">
        <v>2</v>
      </c>
      <c r="F301" t="s">
        <v>140</v>
      </c>
    </row>
    <row r="302" spans="2:6" x14ac:dyDescent="0.25">
      <c r="B302">
        <v>30</v>
      </c>
      <c r="C302">
        <v>8</v>
      </c>
      <c r="D302">
        <v>3</v>
      </c>
      <c r="E302" s="24">
        <v>2</v>
      </c>
      <c r="F302" t="s">
        <v>141</v>
      </c>
    </row>
    <row r="303" spans="2:6" x14ac:dyDescent="0.25">
      <c r="B303">
        <v>30.1</v>
      </c>
      <c r="C303">
        <v>0</v>
      </c>
      <c r="D303">
        <v>0</v>
      </c>
      <c r="E303" s="24">
        <v>0</v>
      </c>
      <c r="F303" t="s">
        <v>142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Extract Recipe Builder</vt:lpstr>
      <vt:lpstr>Beer Style Information</vt:lpstr>
      <vt:lpstr>All-Grain to Extract</vt:lpstr>
      <vt:lpstr>CO2</vt:lpstr>
      <vt:lpstr>Fermentables &amp; Specialty Grain</vt:lpstr>
      <vt:lpstr>Hop Utilization</vt:lpstr>
      <vt:lpstr>Yeast</vt:lpstr>
      <vt:lpstr>Color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cassie lange</dc:creator>
  <cp:lastModifiedBy>cassie lange</cp:lastModifiedBy>
  <cp:lastPrinted>2019-02-24T03:37:10Z</cp:lastPrinted>
  <dcterms:created xsi:type="dcterms:W3CDTF">2019-02-02T04:17:22Z</dcterms:created>
  <dcterms:modified xsi:type="dcterms:W3CDTF">2019-03-06T03:24:49Z</dcterms:modified>
</cp:coreProperties>
</file>